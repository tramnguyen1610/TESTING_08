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PHAM_General_TONG QUAN" sheetId="1" r:id="rId4"/>
    <sheet state="visible" name="Test Scenario_THÊM SẢN PHẨM" sheetId="2" r:id="rId5"/>
    <sheet state="visible" name="FUNC TC_THÊM SẢN PHẨM" sheetId="3" r:id="rId6"/>
    <sheet state="visible" name="Test Scenario_XEM SẢN PHẨM" sheetId="4" r:id="rId7"/>
    <sheet state="visible" name="FUNC TC_XEM SẢN PHẨM" sheetId="5" r:id="rId8"/>
    <sheet state="visible" name="Test Scenario_CẬP NHẬT SẢN PHẨM" sheetId="6" r:id="rId9"/>
    <sheet state="visible" name="FUNC TC_CẬP NHẬT SẢN PHẨM" sheetId="7" r:id="rId10"/>
    <sheet state="visible" name=" Test Scenario_TÌM KIẾM SẢN PHẨ" sheetId="8" r:id="rId11"/>
    <sheet state="visible" name="FUNC TC_TÌM KIẾM SẢN PHẨM" sheetId="9" r:id="rId12"/>
    <sheet state="visible" name="Test Scenario_LỌC SẢN PHẨM" sheetId="10" r:id="rId13"/>
    <sheet state="visible" name="FUNC TC_LỌC SẢN PHẨM" sheetId="11" r:id="rId14"/>
    <sheet state="visible" name="Sheet1" sheetId="12" r:id="rId15"/>
  </sheets>
  <definedNames>
    <definedName name="Scenario_2">'FUNC TC_LOGIN'!#REF!</definedName>
    <definedName name="Scenario_3">'FUNC TC_LOGIN'!#REF!</definedName>
    <definedName name="Scenario_4">'FUNC TC_LOGIN'!#REF!</definedName>
    <definedName name="Scenario_5">'FUNC TC_LOGIN'!#REF!</definedName>
    <definedName name="Scenario_6">'FUNC TC_LOGIN'!#REF!</definedName>
    <definedName name="Scenario_7">'FUNC TC_LOGIN'!#REF!</definedName>
    <definedName name="SC_5">#REF!</definedName>
    <definedName localSheetId="2" name="Scenario_1">'FUNC TC_THÊM SẢN PHẨM'!$A$8</definedName>
    <definedName localSheetId="4" name="SC_5">#REF!</definedName>
    <definedName localSheetId="4" name="Scenario_1">'FUNC TC_XEM SẢN PHẨM'!$A$8</definedName>
    <definedName name="Scenario_1">#REF!</definedName>
    <definedName localSheetId="10" name="Scenario_1">'FUNC TC_LỌC SẢN PHẨM'!$A$9</definedName>
    <definedName localSheetId="6" name="Scenario_1">'FUNC TC_CẬP NHẬT SẢN PHẨM'!$A$8</definedName>
    <definedName localSheetId="2" name="SC_5">'FUNC TC_THÊM SẢN PHẨM'!$A$46</definedName>
    <definedName localSheetId="6" name="SC_5">#REF!</definedName>
    <definedName localSheetId="10" name="SC_5">#REF!</definedName>
    <definedName hidden="1" name="Google_Sheet_Link_1290061334_1485945607">Scenario_1</definedName>
    <definedName hidden="1" name="Google_Sheet_Link_1382166505_608136150">Scenario_1</definedName>
    <definedName hidden="1" name="Google_Sheet_Link_1740427207_1382877068">SC_5</definedName>
    <definedName hidden="1" name="Google_Sheet_Link_1825993170_1382877068">Scenario_1</definedName>
    <definedName hidden="1" name="Google_Sheet_Link_894780062_831400628">Scenario_1</definedName>
  </definedNames>
  <calcPr/>
  <extLst>
    <ext uri="GoogleSheetsCustomDataVersion2">
      <go:sheetsCustomData xmlns:go="http://customooxmlschemas.google.com/" r:id="rId16" roundtripDataChecksum="5B17RLOD5rg3oQailDKX31up0tcLKmHa0d7KBewEBZw="/>
    </ext>
  </extLst>
</workbook>
</file>

<file path=xl/sharedStrings.xml><?xml version="1.0" encoding="utf-8"?>
<sst xmlns="http://schemas.openxmlformats.org/spreadsheetml/2006/main" count="964" uniqueCount="352">
  <si>
    <t>SYSTEM TEST FOR</t>
  </si>
  <si>
    <t>MODULE:  QUẢN LÝ SẢN PHẨM</t>
  </si>
  <si>
    <t>Project Code (Mã dự án)</t>
  </si>
  <si>
    <t>MIS3021</t>
  </si>
  <si>
    <t>Project Name (Tên dự án)</t>
  </si>
  <si>
    <t>Website quản lý kho minimart Kim Liên</t>
  </si>
  <si>
    <t>Target Platform (Nền tảng )</t>
  </si>
  <si>
    <t>Python xây dựng cho Window 11.</t>
  </si>
  <si>
    <t>Release No.</t>
  </si>
  <si>
    <t>1 (15/4/2026)</t>
  </si>
  <si>
    <t>Tester Name</t>
  </si>
  <si>
    <t>Nguyễn Ngọc Trâm</t>
  </si>
  <si>
    <t>Test Lead</t>
  </si>
  <si>
    <t>Date Executed</t>
  </si>
  <si>
    <t xml:space="preserve">15/04/2026 – 18/04/2026
</t>
  </si>
  <si>
    <t>Estimate Duration</t>
  </si>
  <si>
    <t>3 ngày</t>
  </si>
  <si>
    <t xml:space="preserve">Test Scenario  </t>
  </si>
  <si>
    <t>Transaction: Thêm sản phẩm
Test Objectives: Kiểm tra chức năng thêm sản phẩm của hệ thống</t>
  </si>
  <si>
    <t>No</t>
  </si>
  <si>
    <t>Action</t>
  </si>
  <si>
    <t>Expected Results</t>
  </si>
  <si>
    <t>Status</t>
  </si>
  <si>
    <t>Notes</t>
  </si>
  <si>
    <t>Test Scenario Status</t>
  </si>
  <si>
    <t>Scenario 1:   Tạo sản phẩm thành công</t>
  </si>
  <si>
    <t>Input data: Tên sản phẩm, Đơn vị tính</t>
  </si>
  <si>
    <t>Screen Navigation: Đăng nhập -&gt;Dashboard-&gt;Danh sách sản phẩm</t>
  </si>
  <si>
    <t>1. Bấm nút "+ Thêm sản phẩm mới"
2. Nhập Tên sản phẩm: Sữa tươi TH 180ml
3. Chọn Đơn vị tính: Hộp
4. NBấm nút "Xác nhận"</t>
  </si>
  <si>
    <t>Nhập tên sản phẩm</t>
  </si>
  <si>
    <t>Tested</t>
  </si>
  <si>
    <t>Chọn đơn vị tính</t>
  </si>
  <si>
    <t>Nhấn "Xác nhận"</t>
  </si>
  <si>
    <t>Nhấn "OK"</t>
  </si>
  <si>
    <t>Hệ thống đưa ra thông báo: "Tạo sản phẩm thành công" và danh sách sản phẩm được cập nhật với sản phẩm mới nhất</t>
  </si>
  <si>
    <t>Scenario 2: Tạo không thành công vì để trống Tên sản phẩm</t>
  </si>
  <si>
    <t>Input data: Đơn vị tính</t>
  </si>
  <si>
    <t>Screen Navigation:Đăng nhập -&gt;Dashboard-&gt;Danh sách sản phẩm</t>
  </si>
  <si>
    <t>Nhấn nút "+ Thêm sản phẩm mới"</t>
  </si>
  <si>
    <t>Chọn Đơn vị tính</t>
  </si>
  <si>
    <t>Nhấn nút "Xác nhận"</t>
  </si>
  <si>
    <t>Hiển thị lỗi yêu cầu nhập tên sản phẩm</t>
  </si>
  <si>
    <t>Scenario 3: Tạo thành công khi Tên sản phẩm trên 50 ký tự</t>
  </si>
  <si>
    <t>Input data: Tên sản phảm, Đơn vị tính</t>
  </si>
  <si>
    <t>Để trống Tên sản phẩm</t>
  </si>
  <si>
    <t>Chọn Đơn vị tính: Chai</t>
  </si>
  <si>
    <t>Hiển thị tạo thành công nhưng tên sản phẩm có đúng 50 ký tự</t>
  </si>
  <si>
    <t>Scenario 4: Tạo không thành công vì không chọn đơn vị tính</t>
  </si>
  <si>
    <t>Nhập Tên sản phẩm</t>
  </si>
  <si>
    <t>Hệ thống hiển thị thông báo lỗi: "Vui lòng nhập đủ thông tin có dấu (*)".</t>
  </si>
  <si>
    <t>Scenario 5: Bấm nút "Hủy" để dừng việc tạo khi đã nhập thông tin</t>
  </si>
  <si>
    <t>Nhấn nút "Hủy"</t>
  </si>
  <si>
    <t>Form đóng, quay lại màn hình danh sách sản phẩm.</t>
  </si>
  <si>
    <t>Scenario 6: Bấm nút "Hủy" để dừng việc tạo khi không nhập thông tin</t>
  </si>
  <si>
    <t>Input data</t>
  </si>
  <si>
    <t>Scenario 7: Bấm nút "X" để dừng việc tạo khi đã nhập thông tin</t>
  </si>
  <si>
    <t>Nhấn nút "X"</t>
  </si>
  <si>
    <t>Scenario 8: Bấm nút "X" để dừng việc tạo khi không nhập thông tin</t>
  </si>
  <si>
    <t>Scenario 9: Tạo không thành công vì để trống Tên sản phẩm và Đơn vị tính</t>
  </si>
  <si>
    <t>2.Nhấn nút "Xác nhận"</t>
  </si>
  <si>
    <t>Hệ thống hiển thị thông báo lỗi: "Vui lòng nhập thông tin sản phẩm!"</t>
  </si>
  <si>
    <t>Scenario 10: Tạo không thành công vì trùng Tên sản phẩm đã có trog danh sách</t>
  </si>
  <si>
    <t>Hiện thông báo không được trùng tên</t>
  </si>
  <si>
    <t>TEST RESULT</t>
  </si>
  <si>
    <t>Pass</t>
  </si>
  <si>
    <t>Fail</t>
  </si>
  <si>
    <t>Untested</t>
  </si>
  <si>
    <t>Total</t>
  </si>
  <si>
    <t xml:space="preserve">TEST RE-RESULT  </t>
  </si>
  <si>
    <t>TC ID</t>
  </si>
  <si>
    <t>Description (Mô tả)</t>
  </si>
  <si>
    <t>Start Conditions (Điều kiện bắt đầu)</t>
  </si>
  <si>
    <t>Action (Hành động)</t>
  </si>
  <si>
    <t>Expected Result (Kết quả mong đợi)</t>
  </si>
  <si>
    <t>Actual Result (Kết quả thực tế)</t>
  </si>
  <si>
    <t>Result (Kết quả kiểm thử)</t>
  </si>
  <si>
    <t>Test Date</t>
  </si>
  <si>
    <t>Re-Result (Kết quả kiểm thử)-lần 2</t>
  </si>
  <si>
    <t>Re-Result</t>
  </si>
  <si>
    <t>Re-Test Date</t>
  </si>
  <si>
    <t>Defect Severity (Mức độ lỗi)</t>
  </si>
  <si>
    <t>Scenario_1</t>
  </si>
  <si>
    <t>Tạo sản phẩm thành công</t>
  </si>
  <si>
    <t>Đã đăng nhập thành công. Đang ở màn hình danh sách sản phẩm.</t>
  </si>
  <si>
    <t>1. Bấm nút "+ Thêm sản phẩm mới"</t>
  </si>
  <si>
    <t xml:space="preserve">1.Hiển thị form thêm sản phẩm
</t>
  </si>
  <si>
    <t>Minor</t>
  </si>
  <si>
    <t>2. Nhập Tên sản phẩm: Sữa tươi TH 180ml</t>
  </si>
  <si>
    <t>2. 'Sữa tươi TH 180ml' hiển thị  ở trường Tên sản phẩm</t>
  </si>
  <si>
    <t>3. Chọn Đơn vị tính: Hộp</t>
  </si>
  <si>
    <t>3.Giá trị 'Hộp' hiển thị trong trường Đơn vị tính</t>
  </si>
  <si>
    <t>3.Giá trị "Hộp" được nhập tay thay vì chọn vì không có dropdown</t>
  </si>
  <si>
    <t>4. Bấm nút "Xác nhận"</t>
  </si>
  <si>
    <t>4.Hệ thống thông báo: "Tạo sản phẩm thành công!"</t>
  </si>
  <si>
    <t>FUN_TSP_SC01_01</t>
  </si>
  <si>
    <t>5. Bấm 'OK'</t>
  </si>
  <si>
    <t>5.Đóng form, danh sách cập nhật sản phẩm mới</t>
  </si>
  <si>
    <t>Scenario_2</t>
  </si>
  <si>
    <t>Tạo không thành công vì để trống Tên sản phẩm</t>
  </si>
  <si>
    <t>Tạo không thành công khi không nhập tên sản phẩm</t>
  </si>
  <si>
    <t>1.Nhấn nút "+ Thêm sản phẩm mới"</t>
  </si>
  <si>
    <t>1.Hiển thị form thêm sản phẩm</t>
  </si>
  <si>
    <t>Cosmetic</t>
  </si>
  <si>
    <t>2.Chọn Đơn vị tính: Chai</t>
  </si>
  <si>
    <t>3.Giá trị 'Chai' hiển thị trong trường Đơn vị tính</t>
  </si>
  <si>
    <t>FUN_TSP_SC02_01</t>
  </si>
  <si>
    <t>3.Nhấn nút "Xác nhận"</t>
  </si>
  <si>
    <t>3.Hệ thống hiển thị thông báo lỗi: "Vui lòng nhập Tên sản phẩm". Form giữ nguyên, không lưu dữ liệu.</t>
  </si>
  <si>
    <t>3.Hệ thống hiển thị thông báo lỗi: "Vui lòng nhập Tên sản phẩm và chọn Đơn vị tính!". Form giữ nguyên, không lưu dữ liệu.</t>
  </si>
  <si>
    <t>Scenario_3</t>
  </si>
  <si>
    <t>Tạo  thành công khi Tên sản phẩm trên 50 ký tự</t>
  </si>
  <si>
    <t>Tạo không thành công khi nhập Tên sản phẩm trên 50 ký tự</t>
  </si>
  <si>
    <t>FUN_TSP_SC03_01</t>
  </si>
  <si>
    <t>2.Nhập Tên sản phẩm : Sữa tươi TH True Milk nguyên chất 180ml loại đặc biệt giới hạn 2026</t>
  </si>
  <si>
    <t>2.Trường Tên sản phẩm hiển thị: Sữa tươi TH True Milk nguyên chất 180ml loại đặc b</t>
  </si>
  <si>
    <t>3.Chọn Đơn vị tính: Chai</t>
  </si>
  <si>
    <t>4.Nhấn nút "Xác nhận"</t>
  </si>
  <si>
    <t>4.Hệ thống thông báo: "Tạo sản phẩm thành công!", đóng form, reload danh sách. Mã sản phẩm tự động sinh. Trạng thái sản phẩm mới là "Đang kinh doanh"</t>
  </si>
  <si>
    <t>Scenario_4</t>
  </si>
  <si>
    <t>Tạo không thành công vì không chọn đơn vị tính</t>
  </si>
  <si>
    <t>1. Nhấn nút "+ Thêm sản phẩm mới"</t>
  </si>
  <si>
    <t>2.Nhập Tên sản phẩm: Dầu ăn Simply 1L</t>
  </si>
  <si>
    <t>2.'Dầu ăn Simply 1L' được hiển thị trong trường Tên sản phẩm</t>
  </si>
  <si>
    <t>FUN_TSP_SC04_01</t>
  </si>
  <si>
    <t>3. Hệ thống hiển thị thông báo lỗi: "Vui lòng chọn Đơn vị tính!". Form giữ nguyên, không lưu dữ liệu.</t>
  </si>
  <si>
    <t>3. Hệ thống hiển thị thông báo lỗi: "Vui lòng nhập đủ thông tin có dấu (*)". Form giữ nguyên, không lưu dữ liệu.</t>
  </si>
  <si>
    <t>Scenario_5</t>
  </si>
  <si>
    <t>Bấm nút "Hủy" để dừng việc tạo khi đã nhập thông tin</t>
  </si>
  <si>
    <t>FUN_TSP_SC05_01</t>
  </si>
  <si>
    <t>2.Nhập Tên sản phẩm: Nước ngọt Pepsi</t>
  </si>
  <si>
    <t>2.'Nước ngọt Pepsi' được hiển thị trong trường Tên sản phẩm</t>
  </si>
  <si>
    <t>4.Nhấn nút "Hủy"</t>
  </si>
  <si>
    <t>4.Form đóng, quay lại màn hình danh sách sản phẩm. Không có sản phẩm mới nào được thêm vào danh sách.</t>
  </si>
  <si>
    <t>Scenario_6</t>
  </si>
  <si>
    <t>Bấm nút "Hủy" để dừng việc tạo khi không nhập thông tin</t>
  </si>
  <si>
    <t>FUN_STP_SC06_01</t>
  </si>
  <si>
    <t>2.Nhấn nút "Hủy"</t>
  </si>
  <si>
    <t>2.Form đóng, quay lại màn hình danh sách sản phẩm. Không có sản phẩm mới nào được thêm vào danh sách.</t>
  </si>
  <si>
    <t>Scenario_7</t>
  </si>
  <si>
    <t>Bấm nút "X" để dừng việc tạo khi đã nhập thông tin</t>
  </si>
  <si>
    <t>FUN_TSP_SC07_01</t>
  </si>
  <si>
    <t>2.Nhập Tên sản phẩm: Nước ngọt Cola</t>
  </si>
  <si>
    <t>2.'Nước ngọt Cola' được hiển thị trong trường Tên sản phẩm</t>
  </si>
  <si>
    <t>4.Nhấn nút "X"</t>
  </si>
  <si>
    <t>Scenario_8</t>
  </si>
  <si>
    <t>Bấm nút "X" để dừng việc tạo khi không nhập thông tin</t>
  </si>
  <si>
    <t>Đã đăng nhập thành công. Đang ở màn hình danh sách sản phẩm</t>
  </si>
  <si>
    <t>FUN_TSP_SC08_01</t>
  </si>
  <si>
    <t>2.Nhấn nút "X"</t>
  </si>
  <si>
    <t>Scenario_9</t>
  </si>
  <si>
    <t>Tạo không thành công vì để trống Tên sản phẩm và Đơn vị tính</t>
  </si>
  <si>
    <t>FUN_TSP_SC09_01</t>
  </si>
  <si>
    <t>2.Hệ thống hiển thị thông báo lỗi: "Vui lòng nhập thông tin sản phẩm!". Form giữ nguyên, không lưu dữ liệu.</t>
  </si>
  <si>
    <t>Scenario_10</t>
  </si>
  <si>
    <t>Tạo không thành công vì trùng Tên sản phẩm đã có trog danh sách</t>
  </si>
  <si>
    <t>FUN_TSP_SC10_01</t>
  </si>
  <si>
    <t>2.Nhập Tên sản phẩm đã có trong danh sách ( Ví dụ: AQUA)</t>
  </si>
  <si>
    <t>2.. Dữ liệu AQUA hiển thị trong trường Tên sản phẩm</t>
  </si>
  <si>
    <t>4.Hệ thống thông báo: "Tên sản phẩm đã có trong danh sách" và giữ nguyên form</t>
  </si>
  <si>
    <t>Transaction:Xem sản phẩm
Test Objectives: Kiểm tra chức năng  Xem sản phẩm của hệ thống</t>
  </si>
  <si>
    <t xml:space="preserve">Status 
</t>
  </si>
  <si>
    <t>Scenario 1:  Xem sản phẩm khi vừa tạo xong</t>
  </si>
  <si>
    <t xml:space="preserve">Input data: </t>
  </si>
  <si>
    <t>Nhấn nút Xem hình con mắt ở sản phẩm đầu tiên bảng danh sách</t>
  </si>
  <si>
    <t>Hiển thị thông tin khớp với thông tin vừa tạo</t>
  </si>
  <si>
    <t>Scenario 2:  Xem sản phẩm khi vừa cập nhật xong</t>
  </si>
  <si>
    <t>Hiển thị thông tin khớp với thông tin vừa cập nhật</t>
  </si>
  <si>
    <t>Scenario 3: Bấm nút "Đóng" để kết thúc Xem sản phẩm</t>
  </si>
  <si>
    <t>Nhấn nút "Đóng"</t>
  </si>
  <si>
    <t>Form xem biến mất và quay về danh sách sản phẩm</t>
  </si>
  <si>
    <t>Scenario 4: Bấm nút "X" để kết thúc Xem sản phẩm</t>
  </si>
  <si>
    <t>TEST RE-RESULT</t>
  </si>
  <si>
    <t>Re-Result (Kết quả kiểm thử)-Kết quả kiểm thử lần 2</t>
  </si>
  <si>
    <t>Xem sản phẩm khi vừa tạo xong</t>
  </si>
  <si>
    <t>FUN_XSP_SC01_01</t>
  </si>
  <si>
    <t>Đã đăng nhập thành công. Đang ở màn hình danh sách sản phẩm khi vừa tạo sản phẩm mới.</t>
  </si>
  <si>
    <t>1. Nhấn nút Xem hình con mắt ở sản phẩm đầu tiên bảng danh sách</t>
  </si>
  <si>
    <t>Thông tin chi tiết của sản phẩm hiện ra đầy đủ và chính xác với dữ liệu được tạo ra trước đó. Trạng thái là "Đang kinh doanh"</t>
  </si>
  <si>
    <t>Xem sản phẩm khi vừa cập nhật xong</t>
  </si>
  <si>
    <t>FUN_XSP_SC02_01</t>
  </si>
  <si>
    <t>Đã đăng nhập thành công. Đang ở màn hình danh sách sản phẩm khi vừa cập nhật sản phẩm SP001 .</t>
  </si>
  <si>
    <t>1. Nhấn nút Xem hình con mắt ở sản phẩm SP001 bảng danh sách</t>
  </si>
  <si>
    <t>Thông tin chi tiết của sản phẩm hiện ra đầy đủ và chính xác với dữ liệu được sửa trước đó.</t>
  </si>
  <si>
    <t>Bấm nút "Đóng" để kết thúc Xem sản phẩm</t>
  </si>
  <si>
    <t>FUN_XSP_SC03_01</t>
  </si>
  <si>
    <t>Hiển thị giao diện xem chi tiết sản phẩm</t>
  </si>
  <si>
    <t>2.Nhấn nút "Đóng"</t>
  </si>
  <si>
    <t>Bấm nút "X" để kết thúc Xem sản phẩm</t>
  </si>
  <si>
    <t>FUN_XSP_SC04_01</t>
  </si>
  <si>
    <t>Transaction: Cập nhật sản phẩm
Test Objectives: Kiểm tra chức năng cập nhật sản phẩm của hệ thống</t>
  </si>
  <si>
    <t>Scenario 1:   Cập nhật sản phẩm thành công</t>
  </si>
  <si>
    <t>Screen Navigation:  Đăng nhập -&gt;Dashboard-&gt;Danh sách sản phẩm</t>
  </si>
  <si>
    <t>Nhấn nút Cập nhật sản phẩm hình cây bút ở sản phẩm mã SP002</t>
  </si>
  <si>
    <t>Sửa Tên sản phẩm</t>
  </si>
  <si>
    <t>Thay đổi trạng thái từ 'Đang kinh doanh' thành 'Ngừng kinh doanh'</t>
  </si>
  <si>
    <t>Nhấn nút "Cập nhật"</t>
  </si>
  <si>
    <t>Hệ thống thông báo: "Cập nhật thành công!"</t>
  </si>
  <si>
    <t>Scenario 2: Cập nhật không thành công vì Tên sản phẩm để trống</t>
  </si>
  <si>
    <t>Sửa Tên sản phẩm thành rỗng</t>
  </si>
  <si>
    <t>Nhấn nút ""Cập nhật"""</t>
  </si>
  <si>
    <t>Hệ thống hiển thị thông báo lỗi: "Vui lòng nhập Tên sản phẩm!"</t>
  </si>
  <si>
    <t>Scenario 3: Bấm nút "Hủy" để dừng việc cập nhật</t>
  </si>
  <si>
    <t>.Form đóng, quay lại màn hình danh sách sản phẩm.</t>
  </si>
  <si>
    <t>Scenario 4: Bấm nút "X" để dừng việc tạo khi đã nhập thông tin</t>
  </si>
  <si>
    <t>Actual Result (Kết quả thực tế)-Kết quả kiểm thử lần 2</t>
  </si>
  <si>
    <t>Re-Result(Kết quả kiểm thử lần 2)</t>
  </si>
  <si>
    <t>Cập nhật sản phẩm thành công</t>
  </si>
  <si>
    <t>FUN_SSP_SC01_01</t>
  </si>
  <si>
    <t>1. Nhấn nút Cập nhật sản phẩm hình cây bút ở sản phẩm mã SP002</t>
  </si>
  <si>
    <t>1.Hiển thị form Sửa sản phẩm</t>
  </si>
  <si>
    <t>2.Sửa Tên sản phẩm: Sữa tươi TH 180ml</t>
  </si>
  <si>
    <t>3.Chọn Đơn vị tính: Hộp</t>
  </si>
  <si>
    <t>4.Thay đổi trạng thái từ 'Đang kinh doanh' thành 'Ngừng kinh doanh'</t>
  </si>
  <si>
    <t>4. Giá trị 'Ngừng kinh doanh' hiển thị ở trường Trạng thái</t>
  </si>
  <si>
    <t>5.Nhấn nút "Cập nhật"</t>
  </si>
  <si>
    <t>5.Hệ thống thông báo: "Cập nhật thành công!", đóng form, reload danh sách.</t>
  </si>
  <si>
    <t>Cập nhật không thành công vì Tên sản phẩm để trống</t>
  </si>
  <si>
    <t>FUN_SSP_SC02_01</t>
  </si>
  <si>
    <t>2.Sửa Tên sản phẩm thành rỗng</t>
  </si>
  <si>
    <t>2.Trường Tên sản phẩm rỗng</t>
  </si>
  <si>
    <t>2.Tên sản phẩm rỗng</t>
  </si>
  <si>
    <t>5.Nhấn nút ""Cập nhật"""</t>
  </si>
  <si>
    <t>5.Hệ thống hiển thị thông báo lỗi: "Vui lòng nhập Tên sản phẩm!"</t>
  </si>
  <si>
    <t>5.Hệ thống thông báo: "Cập nhật thành công!"</t>
  </si>
  <si>
    <t>Bấm nút "Hủy" để dừng việc cập nhật</t>
  </si>
  <si>
    <t>FUN_SSP_SC03_01</t>
  </si>
  <si>
    <t>Bấm nút "Hủy" để dừng việc cập nhật khi đã nhập thông tin</t>
  </si>
  <si>
    <t>5.Nhấn nút "Hủy"</t>
  </si>
  <si>
    <t>5.Form đóng, quay lại màn hình danh sách sản phẩm. Không có cập nhật gì vào danh sách.</t>
  </si>
  <si>
    <t>FUN_SSP_SC03_02</t>
  </si>
  <si>
    <t>Bấm nút "Hủy" để dừng việc cập nhật khi không nhập thông tin</t>
  </si>
  <si>
    <t>1.Hiển thị form cập nhật sản phẩm</t>
  </si>
  <si>
    <t>2.Form đóng, quay lại màn hình danh sách sản phẩm. Không có sản phẩm mới nào được cập nhật vào danh sách.</t>
  </si>
  <si>
    <t>FUN_SSP_SC04_01</t>
  </si>
  <si>
    <t>Bấm nút "X" để dừng việc cập nhật</t>
  </si>
  <si>
    <t>5.Nhấn nút "X"</t>
  </si>
  <si>
    <t>FUN_SSP_SC04_02</t>
  </si>
  <si>
    <t>Bấm nút "X" để dừng việc cập nhật khi không nhập thông tin</t>
  </si>
  <si>
    <t>Transaction: Tìm kiếm sản phẩm
Test Objectives: Kiểm tra chức năng tìm kiếm sản phẩm của hệ thống</t>
  </si>
  <si>
    <t>Scenario 1:  Tìm kiếm theo Mã sản phẩm hợp lệ</t>
  </si>
  <si>
    <t>Input data: Mã sản phẩm</t>
  </si>
  <si>
    <t>Nhập mã sản phẩm</t>
  </si>
  <si>
    <t>Hiển thị thông tin khớp với từ khóa tìm kiếm</t>
  </si>
  <si>
    <t>Scenario 2:  Tìm kiếm theo Tên sản phẩm hợp lệ</t>
  </si>
  <si>
    <t>Input data: Tên sản phẩm</t>
  </si>
  <si>
    <t>Scenario 3: Từ khóa hợp lệ nhưng khác định dạng hoa/thường so với dữ liệu gốc khi tìm kiếm Tên sản phẩm</t>
  </si>
  <si>
    <t>Hiển thị thông tin sản phẩm khớp với từ khóa tìm kiếm theo cả chữ hoa lẫn chữ thường</t>
  </si>
  <si>
    <t>Scenario 4: Từ khóa hợp lệ nhưng khác định dạng hoa/thường so với dữ liệu gốc khi tìm kiếm Mã sản phẩm</t>
  </si>
  <si>
    <t>Nhập Mã sản phẩm</t>
  </si>
  <si>
    <t>Scenario 5: Tìm kiếm với từ khóa không tồn tại trong danh sách sản phẩm</t>
  </si>
  <si>
    <t>Input data: Tên sản phẩm/Mã sản phẩm</t>
  </si>
  <si>
    <t>Nhập chuỗi ký tự không có trong hệ thống</t>
  </si>
  <si>
    <t>Thông báo:Hiển thị không có dữ liệu</t>
  </si>
  <si>
    <t>Actual Result (Kết quả thực tế)-Kiểm thử lần 2</t>
  </si>
  <si>
    <t>Tìm kiếm theo Mã sản phẩm hợp lệ</t>
  </si>
  <si>
    <t>FUN_TKSP_SC01_01</t>
  </si>
  <si>
    <t>Tìm kiếm mã sản phẩm theo mã đầy đủ</t>
  </si>
  <si>
    <t>1. Nhập một mã sản phẩm đầy đủ (VD: "SP014") vào thanh tìm kiếm</t>
  </si>
  <si>
    <t>Hiển thị duy nhất dòng lô hàng khớp chính xác với mã "SP014".</t>
  </si>
  <si>
    <t>FUN_TKSP_SC01_02</t>
  </si>
  <si>
    <t>Tìm kiếm sảm phẩm theo mã không đầy đủ</t>
  </si>
  <si>
    <t>1. Nhập "SP0" vào thanh tìm kiếm</t>
  </si>
  <si>
    <t xml:space="preserve">Hệ thống lọc và hiển thị tất cả các lô hàng có mã chứa "SP0" </t>
  </si>
  <si>
    <t>Hiển thị danh sách các mã lô bắt đầu bằng SP001-&gt;SP009</t>
  </si>
  <si>
    <t xml:space="preserve">Tìm kiếm tương đối theo Tên sản phẩm </t>
  </si>
  <si>
    <t>FUN_TKSP_SC02_01</t>
  </si>
  <si>
    <t>Tìm kiếm lsản phẩm theo tên đầy đủ</t>
  </si>
  <si>
    <t>1. Nhập tên sản phẩm đầy đủ: "Sữa tươi Vinamilk 1L "vào thanh tìm kiếm</t>
  </si>
  <si>
    <t>Chỉ hiển thị duy nhất dòng lô hàng khớp chính xác với toàn bộ tên vừa nhập.</t>
  </si>
  <si>
    <t>FUN_TKSP_SC02_02</t>
  </si>
  <si>
    <t>Tìm kiếm sản phẩm theo tên không đầy đủ</t>
  </si>
  <si>
    <t>1. Nhập một phần của tên sản phẩm: "Sữa" vào thanh tìm kiếm</t>
  </si>
  <si>
    <t>Hệ thống tự động hiển thị tất cả các lô hàng có chứa từ "Nước": Nước tương Chinsu, Nước giải khát Coca...</t>
  </si>
  <si>
    <t>Từ khóa hợp lệ nhưng khác định dạng hoa/thường so với dữ liệu gốc khi tìm kiếm Tên sản phẩm</t>
  </si>
  <si>
    <t>FUN_TKSP_SC03_01</t>
  </si>
  <si>
    <t>1. Nhập từ khóa bằng chữ thường (VD: "sữa") vào thanh tìm kiếm</t>
  </si>
  <si>
    <t>Hiển thị các sản phẩm có tên chứa ký tự sữa/ Sữa</t>
  </si>
  <si>
    <t>Thông báo "Không tìm thấy sản phẩm nào."</t>
  </si>
  <si>
    <t>Từ khóa hợp lệ nhưng khác định dạng hoa/thường so với dữ liệu gốc khi tìm kiếm Mã sản phẩm</t>
  </si>
  <si>
    <t>FUN_TKSP_SC04_01</t>
  </si>
  <si>
    <t>1. Nhập từ khóa bằng chữ thường (VD: "sp0") vào thanh tìm kiếm</t>
  </si>
  <si>
    <t>Hiển thị các sản phẩm có mã bắt đầu từ SP0</t>
  </si>
  <si>
    <t>Hiển thị các sản phẩm có mã bắt đầu từ SP1</t>
  </si>
  <si>
    <t>Tìm kiếm với từ khóa không tồn tại trong danh sách sản phẩm</t>
  </si>
  <si>
    <t>FUN_TKSP_SC05_01</t>
  </si>
  <si>
    <t>1. Nhập chuỗi ký tự ngẫu nhiên không tồn tại: "abc" vào thanh tìm kiếm</t>
  </si>
  <si>
    <t>Transaction: LỌC SẢN PHẨM
Test Objectives: Kiểm tra chức năng lọc sản phẩm của hệ thống</t>
  </si>
  <si>
    <t>Scenario 1:   Lọc sản phẩm theo Đang kinh doanh</t>
  </si>
  <si>
    <t>Screen Navigation: Đăng nhập-&gt;Dashboard-&gt;Danh sách sản phẩ</t>
  </si>
  <si>
    <t>Nhấn chọn bộ lọc "Tất cả trạng thái"</t>
  </si>
  <si>
    <t xml:space="preserve">Chọn trạng thái "Đang kinh doanh" </t>
  </si>
  <si>
    <t>Bảng danh sách sản phẩm hiển thị các sản phẩm có trạng thái "Đang kinh doanh"</t>
  </si>
  <si>
    <t>Scenario 2: Lọc sản phẩm theo Ngừng kinh doanh</t>
  </si>
  <si>
    <t>Screen Navigation: Đăng nhập-&gt;Dashboard-&gt;Danh sách sản phẩm</t>
  </si>
  <si>
    <t xml:space="preserve">Chọn trạng thái "Ngừng kinh doanh" </t>
  </si>
  <si>
    <t>Bảng danh sách sản phẩm hiển thị các sản phẩm có trạng thái "Ngừng kinh doanh"</t>
  </si>
  <si>
    <t xml:space="preserve">Scenario 3: Lọc sản phẩm theo Ngừng kinh doanh sau khi tìm kiếm </t>
  </si>
  <si>
    <t>Chọn trạng thái "Ngừng kinh doanh"</t>
  </si>
  <si>
    <t>Bảng danh sách sản phẩm hiển thị các sản phẩm có trạng thái Ngừn kinh doanh</t>
  </si>
  <si>
    <t>Scenario 4: Lọc sản phẩm theo Tất cả trạng thái sau khi lọc các trạng thái khác</t>
  </si>
  <si>
    <t xml:space="preserve">1.Nhấn chọn bộ lọc </t>
  </si>
  <si>
    <t xml:space="preserve">2. Chọn trạng thái "Tất cả trạng thái" </t>
  </si>
  <si>
    <t>Bảng danh sách sản phẩm hiển thị tất cả sản phẩm dù có trạng thái nào</t>
  </si>
  <si>
    <t xml:space="preserve">Scenario 5: Lọc sản phẩm theo Đang kinh doanh sau khi tìm kiếm </t>
  </si>
  <si>
    <t>Chọn trạng thái "Đang kinh doanh"</t>
  </si>
  <si>
    <t>Actual Result (Kết quả thực tế)-Kiểm thử  lần 2</t>
  </si>
  <si>
    <t>Lọc sản phẩm theo Đang kinh doanh</t>
  </si>
  <si>
    <t>FUN_LSP_SC01_01</t>
  </si>
  <si>
    <t>1.Nhấn chọn bộ lọc "Tất cả trạng thái"</t>
  </si>
  <si>
    <t>1. Hiện ra danh sách gồm : 'Tất cả trạng thái','Đang kinh doanh','Ngừng kinh doanh'</t>
  </si>
  <si>
    <t xml:space="preserve">2. Chọn trạng thái "Đang kinh doanh" </t>
  </si>
  <si>
    <t>2.Bảng danh sách sản phẩm hiển thị các sản phẩm có trạng thái "Đang kinh doanh"</t>
  </si>
  <si>
    <t>Lọc sản phẩm theo Ngừng kinh doanh</t>
  </si>
  <si>
    <t>FUN_LSP_SC02_01</t>
  </si>
  <si>
    <t xml:space="preserve">2. Chọn trạng thái "Ngừng kinh doanh" </t>
  </si>
  <si>
    <t>2.Bảng danh sách sản phẩm hiển thị các sản phẩm có trạng thái "Ngừng kinh doanh"</t>
  </si>
  <si>
    <t xml:space="preserve">Lọc sản phẩm theo Ngừng kinh doanh sau khi tìm kiếm </t>
  </si>
  <si>
    <t>FUN_LSP_SC03_01</t>
  </si>
  <si>
    <t>Lọc sản phẩm theo Ngừng kinh doanh sau khi tìm kiếm theo mã sản phẩm</t>
  </si>
  <si>
    <t>Đã đăng nhập thành công. Đang ở màn hình danh sách sản phẩm và đã Tìm kiếm ra dãy các sản phẩm có cùng từ khóa tìm kiếm ( Ví dụ: SP0)</t>
  </si>
  <si>
    <t>2.Bảng danh sách sản phẩm hiển thị các sản phẩm có mã sản phẩm có chứa 'SP0' có trạng thái "Ngừng kinh doanh"</t>
  </si>
  <si>
    <t>2.Bảng danh sách sản phẩm hiển thị các sản phẩm có mã  sản phẩm có chứa 'SP0' có trạng thái "Ngừng kinh doanh"</t>
  </si>
  <si>
    <t>2.Bảng danh sách sản phẩm hiển thị các sản phẩm có tên sản phẩm có chứa 'SP0' có trạng thái "Ngừng kinh doanh"</t>
  </si>
  <si>
    <t>FUN_LSP_SC03_02</t>
  </si>
  <si>
    <t xml:space="preserve">Lọc sản phẩm theo Ngừng kinh doanh sau khi tìm kiếm theo tên sản phẩm </t>
  </si>
  <si>
    <t>Đã đăng nhập thành công. Đang ở màn hình danh sách sản phẩm và đã Tìm kiếm ra dãy các sản phẩm có cùng từ khóa tìm kiếm ( Ví dụ: Sữa tươi)</t>
  </si>
  <si>
    <t>2.Bảng danh sách sản phẩm hiển thị các sản phẩm có  tên sản phẩm có chứa 'Sữa tươi' có trạng thái "Ngừng kinh doanh"</t>
  </si>
  <si>
    <t>Lọc sản phẩm theo  Tất cả trạng thái sau khi lọc các trạng thái khác</t>
  </si>
  <si>
    <t>FUN_LSP_SC04_01</t>
  </si>
  <si>
    <t>Lọc sản phẩm theo  Tất cả trạng thái sau khi lọc theo Ngừng kinh doanh</t>
  </si>
  <si>
    <t>Đã đăng nhập thành công. Đang ở màn hình danh sách sản phẩm và đã Lọc ra dãy các sản phẩm có trạng thái Ngừng kinh doanh</t>
  </si>
  <si>
    <t>1.Nhấn chọn bộ lọc "Ngừng kinh doanh"</t>
  </si>
  <si>
    <t>2.Bảng danh sách sản phẩm hiển thị tất cả sản phẩm dù có trạng thái nào</t>
  </si>
  <si>
    <t>FUN_LSP_SC04_02</t>
  </si>
  <si>
    <t>Lọc sản phẩm theo  Tất cả trạng thái sau khi lọc theo Đang kinh doanh</t>
  </si>
  <si>
    <t>Đã đăng nhập thành công. Đang ở màn hình danh sách sản phẩm và đã Lọc ra dãy các sản phẩm có trạng thái Đang kinh doanh</t>
  </si>
  <si>
    <t>1.Nhấn chọn bộ lọc "Đang kinh doanh"</t>
  </si>
  <si>
    <t xml:space="preserve">Lọc sản phẩm theo Đang kinh doanh sau khi tìm kiếm </t>
  </si>
  <si>
    <t>FUN_LSP_SC05_01</t>
  </si>
  <si>
    <t>Lọc sản phẩm theo Đang kinh doanh sau khi tìm kiếm theo mã sản phẩm</t>
  </si>
  <si>
    <t>1. Hiện ra danh sách gồm : 'Tất cả trạng thái','Đang kinh doanh','Đang kinh doanh'</t>
  </si>
  <si>
    <t>2.Bảng danh sách sản phẩm hiển thị các sản phẩm có mã sản phẩm có chứa 'SP0' có trạng thái "Đang kinh doanh"</t>
  </si>
  <si>
    <t>2.Bảng danh sách sản phẩm hiển thị các sản phẩm có mã  sản phẩm có chứa 'SP0' có trạng thái "Đang kinh doanh"</t>
  </si>
  <si>
    <t>2.Bảng danh sách sản phẩm hiển thị các sản phẩm có tên sản phẩm có chứa 'SP0' có trạng thái "Đang kinh doanh"</t>
  </si>
  <si>
    <t>FUN_LSP_SC05_02</t>
  </si>
  <si>
    <t xml:space="preserve">Lọc sản phẩm theo Đang kinh doanh sau khi tìm kiếm theo tên sản phẩm </t>
  </si>
  <si>
    <t>2.Bảng danh sách sản phẩm hiển thị các sản phẩm có  tên sản phẩm có chứa 'Sữa tươi' có trạng thái "Đang kinh doanh"</t>
  </si>
  <si>
    <t>2.Bảng danh sách sản phẩm hiển thị các sản phẩm có tên sản phẩm có chứa 'Sữa tươi' có trạng thái "Đang kinh doanh"</t>
  </si>
  <si>
    <t>Critical: Hệ thống không thể hoạt động</t>
  </si>
  <si>
    <t>Major: Khi chọn 1 chức năng, hệ thống crash</t>
  </si>
  <si>
    <t>Minor: Lỗi thường gặp, thiếu yêu cầu, sai kết quả mong đợi</t>
  </si>
  <si>
    <t>Cosmetic: Lỗi nhẹ nhất, như sai chính tả, định dạng,…/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</si>
</sst>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3">
    <font>
      <sz val="10.0"/>
      <color rgb="FF000000"/>
      <name val="Arial"/>
      <scheme val="minor"/>
    </font>
    <font>
      <sz val="12.0"/>
      <color theme="1"/>
      <name val="Times New Roman"/>
    </font>
    <font>
      <b/>
      <sz val="26.0"/>
      <color theme="1"/>
      <name val="Times New Roman"/>
    </font>
    <font>
      <b/>
      <sz val="12.0"/>
      <color theme="1"/>
      <name val="Times New Roman"/>
    </font>
    <font/>
    <font>
      <b/>
      <sz val="10.0"/>
      <color rgb="FFFFFFFF"/>
      <name val="Times New Roman"/>
    </font>
    <font>
      <sz val="10.0"/>
      <color theme="1"/>
      <name val="Times New Roman"/>
    </font>
    <font>
      <b/>
      <sz val="10.0"/>
      <color rgb="FF000000"/>
      <name val="Times New Roman"/>
    </font>
    <font>
      <u/>
      <sz val="10.0"/>
      <color rgb="FF0000FF"/>
      <name val="Arial"/>
    </font>
    <font>
      <b/>
      <sz val="10.0"/>
      <color rgb="FF0000FF"/>
      <name val="Verdana"/>
    </font>
    <font>
      <i/>
      <sz val="10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color rgb="FF0000FF"/>
      <name val="Arial"/>
    </font>
    <font>
      <color theme="1"/>
      <name val="Arial"/>
    </font>
    <font>
      <b/>
      <color theme="1"/>
      <name val="Times New Roman"/>
    </font>
    <font>
      <color theme="1"/>
      <name val="Times New Roman"/>
    </font>
    <font>
      <i/>
      <color theme="1"/>
      <name val="Times New Roman"/>
    </font>
    <font>
      <sz val="11.0"/>
      <color rgb="FF000000"/>
      <name val="Calibri"/>
    </font>
    <font>
      <b/>
      <color rgb="FFFFFFFF"/>
      <name val="Times New Roman"/>
    </font>
    <font>
      <sz val="10.0"/>
      <color rgb="FF000000"/>
      <name val="Times New Roman"/>
    </font>
    <font>
      <u/>
      <sz val="10.0"/>
      <color rgb="FF0000FF"/>
      <name val="Arial"/>
    </font>
    <font>
      <u/>
      <sz val="10.0"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666699"/>
        <bgColor rgb="FF666699"/>
      </patternFill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theme="0"/>
      </patternFill>
    </fill>
  </fills>
  <borders count="59">
    <border/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/>
    </border>
    <border>
      <left/>
      <right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hair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bottom style="medium">
        <color rgb="FF000000"/>
      </bottom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</border>
    <border>
      <left style="hair">
        <color rgb="FF000000"/>
      </lef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top/>
    </border>
    <border>
      <top/>
    </border>
    <border>
      <left style="thick">
        <color rgb="FF000000"/>
      </lef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3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horizontal="left" shrinkToFit="0" vertical="center" wrapText="0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4" numFmtId="0" xfId="0" applyBorder="1" applyFont="1"/>
    <xf borderId="6" fillId="2" fontId="1" numFmtId="0" xfId="0" applyAlignment="1" applyBorder="1" applyFont="1">
      <alignment horizontal="left" shrinkToFit="0" vertical="center" wrapText="0"/>
    </xf>
    <xf borderId="7" fillId="2" fontId="1" numFmtId="0" xfId="0" applyAlignment="1" applyBorder="1" applyFont="1">
      <alignment horizontal="left" shrinkToFit="0" vertical="center" wrapText="0"/>
    </xf>
    <xf borderId="8" fillId="0" fontId="1" numFmtId="0" xfId="0" applyAlignment="1" applyBorder="1" applyFont="1">
      <alignment horizontal="left" readingOrder="0" shrinkToFit="0" vertical="bottom" wrapText="0"/>
    </xf>
    <xf borderId="9" fillId="0" fontId="4" numFmtId="0" xfId="0" applyBorder="1" applyFont="1"/>
    <xf borderId="10" fillId="2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left" readingOrder="0" shrinkToFit="0" vertical="bottom" wrapText="0"/>
    </xf>
    <xf borderId="11" fillId="0" fontId="4" numFmtId="0" xfId="0" applyBorder="1" applyFont="1"/>
    <xf borderId="12" fillId="2" fontId="1" numFmtId="0" xfId="0" applyAlignment="1" applyBorder="1" applyFont="1">
      <alignment horizontal="left" shrinkToFit="0" vertical="center" wrapText="0"/>
    </xf>
    <xf borderId="13" fillId="0" fontId="1" numFmtId="0" xfId="0" applyAlignment="1" applyBorder="1" applyFont="1">
      <alignment horizontal="left" readingOrder="0" shrinkToFit="0" vertical="bottom" wrapText="0"/>
    </xf>
    <xf borderId="14" fillId="0" fontId="4" numFmtId="0" xfId="0" applyBorder="1" applyFont="1"/>
    <xf borderId="4" fillId="3" fontId="5" numFmtId="0" xfId="0" applyAlignment="1" applyBorder="1" applyFill="1" applyFont="1">
      <alignment horizontal="left" shrinkToFit="0" vertical="center" wrapText="1"/>
    </xf>
    <xf borderId="15" fillId="0" fontId="4" numFmtId="0" xfId="0" applyBorder="1" applyFont="1"/>
    <xf borderId="0" fillId="0" fontId="6" numFmtId="0" xfId="0" applyAlignment="1" applyFont="1">
      <alignment horizontal="left" shrinkToFit="0" vertical="center" wrapText="1"/>
    </xf>
    <xf borderId="4" fillId="4" fontId="7" numFmtId="0" xfId="0" applyAlignment="1" applyBorder="1" applyFill="1" applyFont="1">
      <alignment horizontal="left" readingOrder="0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6" fillId="5" fontId="5" numFmtId="0" xfId="0" applyAlignment="1" applyBorder="1" applyFill="1" applyFont="1">
      <alignment horizontal="left" shrinkToFit="0" vertical="center" wrapText="1"/>
    </xf>
    <xf borderId="16" fillId="5" fontId="5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6" fontId="7" numFmtId="0" xfId="0" applyAlignment="1" applyBorder="1" applyFill="1" applyFont="1">
      <alignment horizontal="left" readingOrder="0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16" fillId="0" fontId="6" numFmtId="0" xfId="0" applyAlignment="1" applyBorder="1" applyFont="1">
      <alignment horizontal="left" readingOrder="0" shrinkToFit="0" vertical="center" wrapText="1"/>
    </xf>
    <xf borderId="16" fillId="7" fontId="10" numFmtId="0" xfId="0" applyAlignment="1" applyBorder="1" applyFill="1" applyFont="1">
      <alignment horizontal="left" shrinkToFit="0" vertical="center" wrapText="1"/>
    </xf>
    <xf borderId="16" fillId="0" fontId="10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horizontal="left" readingOrder="0" shrinkToFit="0" vertical="center" wrapText="1"/>
    </xf>
    <xf borderId="17" fillId="0" fontId="4" numFmtId="0" xfId="0" applyBorder="1" applyFont="1"/>
    <xf borderId="18" fillId="0" fontId="4" numFmtId="0" xfId="0" applyBorder="1" applyFont="1"/>
    <xf borderId="16" fillId="0" fontId="11" numFmtId="0" xfId="0" applyAlignment="1" applyBorder="1" applyFont="1">
      <alignment horizontal="left" readingOrder="0" shrinkToFit="0" vertical="center" wrapText="1"/>
    </xf>
    <xf borderId="16" fillId="0" fontId="12" numFmtId="0" xfId="0" applyAlignment="1" applyBorder="1" applyFont="1">
      <alignment horizontal="left" readingOrder="0" shrinkToFit="0" vertical="center" wrapText="1"/>
    </xf>
    <xf borderId="16" fillId="0" fontId="12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horizontal="left" shrinkToFit="0" vertical="center" wrapText="1"/>
    </xf>
    <xf borderId="4" fillId="6" fontId="15" numFmtId="0" xfId="0" applyAlignment="1" applyBorder="1" applyFont="1">
      <alignment horizontal="left" shrinkToFit="0" vertical="center" wrapText="1"/>
    </xf>
    <xf borderId="4" fillId="6" fontId="14" numFmtId="0" xfId="0" applyAlignment="1" applyBorder="1" applyFont="1">
      <alignment horizontal="left" shrinkToFit="0" vertical="center" wrapText="1"/>
    </xf>
    <xf borderId="16" fillId="0" fontId="16" numFmtId="0" xfId="0" applyAlignment="1" applyBorder="1" applyFont="1">
      <alignment horizontal="left" shrinkToFit="0" vertical="center" wrapText="1"/>
    </xf>
    <xf borderId="16" fillId="0" fontId="11" numFmtId="0" xfId="0" applyAlignment="1" applyBorder="1" applyFont="1">
      <alignment horizontal="left" shrinkToFit="0" vertical="center" wrapText="1"/>
    </xf>
    <xf borderId="16" fillId="0" fontId="14" numFmtId="0" xfId="0" applyAlignment="1" applyBorder="1" applyFont="1">
      <alignment horizontal="left" shrinkToFit="0" vertical="center" wrapText="1"/>
    </xf>
    <xf borderId="16" fillId="7" fontId="14" numFmtId="0" xfId="0" applyAlignment="1" applyBorder="1" applyFont="1">
      <alignment horizontal="left" shrinkToFit="0" vertical="center" wrapText="1"/>
    </xf>
    <xf borderId="2" fillId="0" fontId="17" numFmtId="0" xfId="0" applyAlignment="1" applyBorder="1" applyFont="1">
      <alignment horizontal="left" shrinkToFit="0" vertical="center" wrapText="1"/>
    </xf>
    <xf borderId="2" fillId="0" fontId="14" numFmtId="0" xfId="0" applyAlignment="1" applyBorder="1" applyFont="1">
      <alignment horizontal="left" readingOrder="0" shrinkToFit="0" vertical="center" wrapText="1"/>
    </xf>
    <xf borderId="19" fillId="0" fontId="18" numFmtId="0" xfId="0" applyAlignment="1" applyBorder="1" applyFont="1">
      <alignment horizontal="left" readingOrder="0" shrinkToFit="0" vertical="top" wrapText="1"/>
    </xf>
    <xf borderId="16" fillId="0" fontId="1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20" fillId="5" fontId="5" numFmtId="0" xfId="0" applyAlignment="1" applyBorder="1" applyFont="1">
      <alignment horizontal="left" shrinkToFit="0" vertical="center" wrapText="1"/>
    </xf>
    <xf borderId="21" fillId="5" fontId="5" numFmtId="0" xfId="0" applyAlignment="1" applyBorder="1" applyFont="1">
      <alignment horizontal="left" shrinkToFit="0" vertical="center" wrapText="1"/>
    </xf>
    <xf borderId="22" fillId="0" fontId="4" numFmtId="0" xfId="0" applyBorder="1" applyFont="1"/>
    <xf borderId="16" fillId="8" fontId="6" numFmtId="0" xfId="0" applyAlignment="1" applyBorder="1" applyFill="1" applyFont="1">
      <alignment horizontal="left" shrinkToFit="0" vertical="center" wrapText="1"/>
    </xf>
    <xf borderId="0" fillId="0" fontId="14" numFmtId="0" xfId="0" applyAlignment="1" applyFont="1">
      <alignment horizontal="left" shrinkToFit="0" wrapText="1"/>
    </xf>
    <xf borderId="20" fillId="5" fontId="19" numFmtId="0" xfId="0" applyAlignment="1" applyBorder="1" applyFont="1">
      <alignment horizontal="left" readingOrder="0" shrinkToFit="0" wrapText="1"/>
    </xf>
    <xf borderId="21" fillId="5" fontId="19" numFmtId="0" xfId="0" applyAlignment="1" applyBorder="1" applyFont="1">
      <alignment horizontal="left" shrinkToFit="0" wrapText="1"/>
    </xf>
    <xf borderId="23" fillId="0" fontId="4" numFmtId="0" xfId="0" applyBorder="1" applyFont="1"/>
    <xf borderId="16" fillId="8" fontId="16" numFmtId="0" xfId="0" applyAlignment="1" applyBorder="1" applyFont="1">
      <alignment horizontal="left" shrinkToFit="0" wrapText="1"/>
    </xf>
    <xf borderId="24" fillId="5" fontId="5" numFmtId="0" xfId="0" applyAlignment="1" applyBorder="1" applyFont="1">
      <alignment horizontal="left" shrinkToFit="0" vertical="center" wrapText="1"/>
    </xf>
    <xf borderId="24" fillId="5" fontId="5" numFmtId="0" xfId="0" applyAlignment="1" applyBorder="1" applyFont="1">
      <alignment horizontal="left" readingOrder="0" shrinkToFit="0" vertical="center" wrapText="1"/>
    </xf>
    <xf borderId="25" fillId="9" fontId="7" numFmtId="0" xfId="0" applyAlignment="1" applyBorder="1" applyFill="1" applyFont="1">
      <alignment horizontal="left" shrinkToFit="0" vertical="center" wrapText="1"/>
    </xf>
    <xf borderId="4" fillId="9" fontId="7" numFmtId="0" xfId="0" applyAlignment="1" applyBorder="1" applyFont="1">
      <alignment horizontal="left" readingOrder="0" shrinkToFit="0" vertical="center" wrapText="1"/>
    </xf>
    <xf borderId="15" fillId="9" fontId="7" numFmtId="0" xfId="0" applyAlignment="1" applyBorder="1" applyFont="1">
      <alignment horizontal="left" readingOrder="0" shrinkToFit="0" vertical="center" wrapText="1"/>
    </xf>
    <xf borderId="2" fillId="4" fontId="6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2" fillId="0" fontId="18" numFmtId="0" xfId="0" applyAlignment="1" applyBorder="1" applyFont="1">
      <alignment horizontal="left" readingOrder="0" shrinkToFit="0" vertical="top" wrapText="1"/>
    </xf>
    <xf borderId="16" fillId="0" fontId="18" numFmtId="0" xfId="0" applyAlignment="1" applyBorder="1" applyFont="1">
      <alignment horizontal="left" readingOrder="0" shrinkToFit="0" vertical="top" wrapText="1"/>
    </xf>
    <xf borderId="2" fillId="0" fontId="18" numFmtId="164" xfId="0" applyAlignment="1" applyBorder="1" applyFont="1" applyNumberFormat="1">
      <alignment horizontal="left" readingOrder="0" shrinkToFit="0" vertical="top" wrapText="1"/>
    </xf>
    <xf borderId="0" fillId="4" fontId="6" numFmtId="0" xfId="0" applyAlignment="1" applyFont="1">
      <alignment horizontal="left" readingOrder="0" shrinkToFit="0" vertical="center" wrapText="1"/>
    </xf>
    <xf borderId="17" fillId="4" fontId="6" numFmtId="0" xfId="0" applyAlignment="1" applyBorder="1" applyFont="1">
      <alignment horizontal="left" readingOrder="0" shrinkToFit="0" vertical="center" wrapText="1"/>
    </xf>
    <xf borderId="16" fillId="0" fontId="18" numFmtId="0" xfId="0" applyAlignment="1" applyBorder="1" applyFont="1">
      <alignment horizontal="left" shrinkToFit="0" vertical="top" wrapText="1"/>
    </xf>
    <xf borderId="18" fillId="4" fontId="6" numFmtId="0" xfId="0" applyAlignment="1" applyBorder="1" applyFont="1">
      <alignment horizontal="left" readingOrder="0" shrinkToFit="0" vertical="center" wrapText="1"/>
    </xf>
    <xf borderId="26" fillId="0" fontId="6" numFmtId="0" xfId="0" applyAlignment="1" applyBorder="1" applyFont="1">
      <alignment horizontal="left" readingOrder="0" shrinkToFit="0" vertical="center" wrapText="1"/>
    </xf>
    <xf borderId="27" fillId="9" fontId="7" numFmtId="0" xfId="0" applyAlignment="1" applyBorder="1" applyFont="1">
      <alignment horizontal="left" shrinkToFit="0" vertical="center" wrapText="1"/>
    </xf>
    <xf borderId="28" fillId="9" fontId="7" numFmtId="0" xfId="0" applyAlignment="1" applyBorder="1" applyFont="1">
      <alignment horizontal="left" readingOrder="0" shrinkToFit="0" vertical="center" wrapText="1"/>
    </xf>
    <xf borderId="29" fillId="9" fontId="7" numFmtId="0" xfId="0" applyAlignment="1" applyBorder="1" applyFont="1">
      <alignment horizontal="left" shrinkToFit="0" vertical="center" wrapText="1"/>
    </xf>
    <xf borderId="27" fillId="9" fontId="7" numFmtId="0" xfId="0" applyAlignment="1" applyBorder="1" applyFont="1">
      <alignment horizontal="left" readingOrder="0" shrinkToFit="0" vertical="center" wrapText="1"/>
    </xf>
    <xf borderId="27" fillId="4" fontId="6" numFmtId="0" xfId="0" applyAlignment="1" applyBorder="1" applyFont="1">
      <alignment horizontal="left" readingOrder="0" shrinkToFit="0" vertical="center" wrapText="1"/>
    </xf>
    <xf borderId="25" fillId="9" fontId="7" numFmtId="0" xfId="0" applyAlignment="1" applyBorder="1" applyFont="1">
      <alignment horizontal="left" readingOrder="0" shrinkToFit="0" vertical="center" wrapText="1"/>
    </xf>
    <xf borderId="30" fillId="0" fontId="18" numFmtId="0" xfId="0" applyAlignment="1" applyBorder="1" applyFont="1">
      <alignment horizontal="left" readingOrder="0" shrinkToFit="0" vertical="top" wrapText="1"/>
    </xf>
    <xf borderId="31" fillId="0" fontId="4" numFmtId="0" xfId="0" applyBorder="1" applyFont="1"/>
    <xf borderId="32" fillId="0" fontId="4" numFmtId="0" xfId="0" applyBorder="1" applyFont="1"/>
    <xf borderId="2" fillId="4" fontId="18" numFmtId="0" xfId="0" applyAlignment="1" applyBorder="1" applyFont="1">
      <alignment horizontal="left" shrinkToFit="0" vertical="top" wrapText="1"/>
    </xf>
    <xf borderId="33" fillId="4" fontId="6" numFmtId="0" xfId="0" applyAlignment="1" applyBorder="1" applyFont="1">
      <alignment horizontal="left" readingOrder="0" shrinkToFit="0" vertical="center" wrapText="1"/>
    </xf>
    <xf borderId="34" fillId="0" fontId="6" numFmtId="0" xfId="0" applyAlignment="1" applyBorder="1" applyFont="1">
      <alignment horizontal="left" shrinkToFit="0" vertical="center" wrapText="1"/>
    </xf>
    <xf borderId="35" fillId="0" fontId="4" numFmtId="0" xfId="0" applyBorder="1" applyFont="1"/>
    <xf borderId="34" fillId="4" fontId="6" numFmtId="0" xfId="0" applyAlignment="1" applyBorder="1" applyFont="1">
      <alignment horizontal="left" readingOrder="0" shrinkToFit="0" vertical="center" wrapText="1"/>
    </xf>
    <xf borderId="36" fillId="0" fontId="4" numFmtId="0" xfId="0" applyBorder="1" applyFont="1"/>
    <xf borderId="27" fillId="7" fontId="20" numFmtId="0" xfId="0" applyAlignment="1" applyBorder="1" applyFont="1">
      <alignment horizontal="left" readingOrder="0" shrinkToFit="0" vertical="center" wrapText="1"/>
    </xf>
    <xf borderId="27" fillId="0" fontId="4" numFmtId="0" xfId="0" applyBorder="1" applyFont="1"/>
    <xf borderId="28" fillId="0" fontId="4" numFmtId="0" xfId="0" applyBorder="1" applyFont="1"/>
    <xf borderId="25" fillId="3" fontId="5" numFmtId="0" xfId="0" applyAlignment="1" applyBorder="1" applyFont="1">
      <alignment horizontal="center" shrinkToFit="0" vertical="top" wrapText="1"/>
    </xf>
    <xf borderId="37" fillId="0" fontId="4" numFmtId="0" xfId="0" applyBorder="1" applyFont="1"/>
    <xf borderId="30" fillId="0" fontId="4" numFmtId="0" xfId="0" applyBorder="1" applyFont="1"/>
    <xf borderId="0" fillId="0" fontId="6" numFmtId="0" xfId="0" applyAlignment="1" applyFont="1">
      <alignment shrinkToFit="0" vertical="bottom" wrapText="0"/>
    </xf>
    <xf borderId="4" fillId="4" fontId="7" numFmtId="0" xfId="0" applyAlignment="1" applyBorder="1" applyFont="1">
      <alignment horizontal="left" readingOrder="0" shrinkToFit="0" vertical="top" wrapText="1"/>
    </xf>
    <xf borderId="16" fillId="0" fontId="6" numFmtId="0" xfId="0" applyAlignment="1" applyBorder="1" applyFont="1">
      <alignment horizontal="center" shrinkToFit="0" vertical="top" wrapText="0"/>
    </xf>
    <xf borderId="16" fillId="0" fontId="6" numFmtId="0" xfId="0" applyAlignment="1" applyBorder="1" applyFont="1">
      <alignment shrinkToFit="0" vertical="top" wrapText="0"/>
    </xf>
    <xf borderId="16" fillId="5" fontId="5" numFmtId="0" xfId="0" applyAlignment="1" applyBorder="1" applyFont="1">
      <alignment horizontal="center" shrinkToFit="0" vertical="top" wrapText="0"/>
    </xf>
    <xf borderId="4" fillId="5" fontId="5" numFmtId="0" xfId="0" applyAlignment="1" applyBorder="1" applyFont="1">
      <alignment horizontal="center" shrinkToFit="0" vertical="top" wrapText="0"/>
    </xf>
    <xf borderId="16" fillId="5" fontId="5" numFmtId="0" xfId="0" applyAlignment="1" applyBorder="1" applyFont="1">
      <alignment horizontal="center" shrinkToFit="0" vertical="top" wrapText="1"/>
    </xf>
    <xf borderId="4" fillId="0" fontId="21" numFmtId="0" xfId="0" applyAlignment="1" applyBorder="1" applyFont="1">
      <alignment readingOrder="0"/>
    </xf>
    <xf borderId="4" fillId="6" fontId="7" numFmtId="0" xfId="0" applyAlignment="1" applyBorder="1" applyFont="1">
      <alignment readingOrder="0" shrinkToFit="0" vertical="top" wrapText="1"/>
    </xf>
    <xf borderId="4" fillId="6" fontId="9" numFmtId="0" xfId="0" applyAlignment="1" applyBorder="1" applyFont="1">
      <alignment shrinkToFit="0" vertical="top" wrapText="1"/>
    </xf>
    <xf borderId="16" fillId="0" fontId="6" numFmtId="0" xfId="0" applyAlignment="1" applyBorder="1" applyFont="1">
      <alignment horizontal="center" readingOrder="0" shrinkToFit="0" vertical="top" wrapText="1"/>
    </xf>
    <xf borderId="15" fillId="0" fontId="6" numFmtId="0" xfId="0" applyAlignment="1" applyBorder="1" applyFont="1">
      <alignment horizontal="left" readingOrder="0" shrinkToFit="0" vertical="center" wrapText="1"/>
    </xf>
    <xf borderId="16" fillId="0" fontId="6" numFmtId="0" xfId="0" applyAlignment="1" applyBorder="1" applyFont="1">
      <alignment readingOrder="0" shrinkToFit="0" vertical="top" wrapText="1"/>
    </xf>
    <xf borderId="16" fillId="0" fontId="6" numFmtId="0" xfId="0" applyAlignment="1" applyBorder="1" applyFont="1">
      <alignment shrinkToFit="0" vertical="top" wrapText="1"/>
    </xf>
    <xf borderId="16" fillId="7" fontId="10" numFmtId="0" xfId="0" applyAlignment="1" applyBorder="1" applyFont="1">
      <alignment shrinkToFit="0" vertical="top" wrapText="1"/>
    </xf>
    <xf borderId="16" fillId="0" fontId="10" numFmtId="0" xfId="0" applyAlignment="1" applyBorder="1" applyFont="1">
      <alignment horizontal="center" readingOrder="0" shrinkToFit="0" vertical="top" wrapText="1"/>
    </xf>
    <xf borderId="4" fillId="0" fontId="11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horizontal="center" readingOrder="0" shrinkToFit="0" vertical="top" wrapText="1"/>
    </xf>
    <xf borderId="20" fillId="5" fontId="19" numFmtId="0" xfId="0" applyAlignment="1" applyBorder="1" applyFont="1">
      <alignment horizontal="left" readingOrder="0" shrinkToFit="0" vertical="center" wrapText="1"/>
    </xf>
    <xf borderId="21" fillId="5" fontId="19" numFmtId="0" xfId="0" applyAlignment="1" applyBorder="1" applyFont="1">
      <alignment horizontal="left" shrinkToFit="0" vertical="center" wrapText="1"/>
    </xf>
    <xf borderId="16" fillId="8" fontId="16" numFmtId="0" xfId="0" applyAlignment="1" applyBorder="1" applyFont="1">
      <alignment horizontal="left" shrinkToFit="0" vertical="center" wrapText="1"/>
    </xf>
    <xf borderId="35" fillId="0" fontId="6" numFmtId="0" xfId="0" applyAlignment="1" applyBorder="1" applyFont="1">
      <alignment horizontal="left" readingOrder="0" shrinkToFit="0" vertical="center" wrapText="1"/>
    </xf>
    <xf borderId="18" fillId="0" fontId="6" numFmtId="0" xfId="0" applyAlignment="1" applyBorder="1" applyFont="1">
      <alignment horizontal="left" readingOrder="0" shrinkToFit="0" vertical="center" wrapText="1"/>
    </xf>
    <xf borderId="31" fillId="0" fontId="6" numFmtId="164" xfId="0" applyAlignment="1" applyBorder="1" applyFont="1" applyNumberFormat="1">
      <alignment horizontal="left" readingOrder="0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27" fillId="0" fontId="6" numFmtId="164" xfId="0" applyAlignment="1" applyBorder="1" applyFont="1" applyNumberFormat="1">
      <alignment horizontal="left" readingOrder="0" shrinkToFit="0" vertical="center" wrapText="1"/>
    </xf>
    <xf borderId="38" fillId="4" fontId="6" numFmtId="0" xfId="0" applyAlignment="1" applyBorder="1" applyFont="1">
      <alignment horizontal="left" readingOrder="0" shrinkToFit="0" vertical="center" wrapText="1"/>
    </xf>
    <xf borderId="2" fillId="0" fontId="18" numFmtId="0" xfId="0" applyAlignment="1" applyBorder="1" applyFont="1">
      <alignment horizontal="left" readingOrder="0" shrinkToFit="0" vertical="center" wrapText="1"/>
    </xf>
    <xf borderId="16" fillId="0" fontId="18" numFmtId="0" xfId="0" applyAlignment="1" applyBorder="1" applyFont="1">
      <alignment horizontal="left" readingOrder="0" shrinkToFit="0" vertical="center" wrapText="1"/>
    </xf>
    <xf borderId="2" fillId="0" fontId="18" numFmtId="164" xfId="0" applyAlignment="1" applyBorder="1" applyFont="1" applyNumberFormat="1">
      <alignment horizontal="left" readingOrder="0" shrinkToFit="0" vertical="center" wrapText="1"/>
    </xf>
    <xf borderId="17" fillId="0" fontId="6" numFmtId="164" xfId="0" applyAlignment="1" applyBorder="1" applyFont="1" applyNumberFormat="1">
      <alignment horizontal="left" readingOrder="0" shrinkToFit="0" vertical="center" wrapText="1"/>
    </xf>
    <xf borderId="29" fillId="0" fontId="4" numFmtId="0" xfId="0" applyBorder="1" applyFont="1"/>
    <xf borderId="16" fillId="0" fontId="6" numFmtId="0" xfId="0" applyAlignment="1" applyBorder="1" applyFont="1">
      <alignment readingOrder="0" shrinkToFit="0" vertical="center" wrapText="1"/>
    </xf>
    <xf borderId="38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16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20" fillId="5" fontId="19" numFmtId="0" xfId="0" applyAlignment="1" applyBorder="1" applyFont="1">
      <alignment horizontal="left" shrinkToFit="0" vertical="center" wrapText="1"/>
    </xf>
    <xf borderId="21" fillId="5" fontId="19" numFmtId="0" xfId="0" applyAlignment="1" applyBorder="1" applyFont="1">
      <alignment horizontal="left" shrinkToFit="0" vertical="center" wrapText="1"/>
    </xf>
    <xf borderId="16" fillId="8" fontId="16" numFmtId="0" xfId="0" applyAlignment="1" applyBorder="1" applyFont="1">
      <alignment horizontal="left" shrinkToFit="0" vertical="center" wrapText="1"/>
    </xf>
    <xf borderId="16" fillId="5" fontId="15" numFmtId="0" xfId="0" applyAlignment="1" applyBorder="1" applyFont="1">
      <alignment horizontal="left" shrinkToFit="0" vertical="center" wrapText="1"/>
    </xf>
    <xf borderId="16" fillId="5" fontId="15" numFmtId="0" xfId="0" applyAlignment="1" applyBorder="1" applyFont="1">
      <alignment horizontal="left" readingOrder="0" shrinkToFit="0" vertical="center" wrapText="1"/>
    </xf>
    <xf borderId="16" fillId="9" fontId="15" numFmtId="0" xfId="0" applyAlignment="1" applyBorder="1" applyFont="1">
      <alignment horizontal="left" shrinkToFit="0" vertical="center" wrapText="1"/>
    </xf>
    <xf borderId="16" fillId="9" fontId="15" numFmtId="0" xfId="0" applyAlignment="1" applyBorder="1" applyFont="1">
      <alignment horizontal="left" readingOrder="0" shrinkToFit="0" vertical="center" wrapText="1"/>
    </xf>
    <xf borderId="16" fillId="9" fontId="14" numFmtId="0" xfId="0" applyAlignment="1" applyBorder="1" applyFont="1">
      <alignment horizontal="left" shrinkToFit="0" vertical="center" wrapText="1"/>
    </xf>
    <xf borderId="16" fillId="10" fontId="16" numFmtId="0" xfId="0" applyAlignment="1" applyBorder="1" applyFill="1" applyFont="1">
      <alignment horizontal="left" readingOrder="0" shrinkToFit="0" vertical="center" wrapText="1"/>
    </xf>
    <xf borderId="16" fillId="0" fontId="16" numFmtId="0" xfId="0" applyAlignment="1" applyBorder="1" applyFont="1">
      <alignment horizontal="left" readingOrder="0" shrinkToFit="0" vertical="center" wrapText="1"/>
    </xf>
    <xf borderId="16" fillId="0" fontId="16" numFmtId="0" xfId="0" applyAlignment="1" applyBorder="1" applyFont="1">
      <alignment horizontal="left" shrinkToFit="0" vertical="center" wrapText="1"/>
    </xf>
    <xf borderId="16" fillId="0" fontId="16" numFmtId="164" xfId="0" applyAlignment="1" applyBorder="1" applyFont="1" applyNumberFormat="1">
      <alignment horizontal="left" shrinkToFit="0" vertical="center" wrapText="1"/>
    </xf>
    <xf borderId="16" fillId="4" fontId="14" numFmtId="0" xfId="0" applyAlignment="1" applyBorder="1" applyFont="1">
      <alignment horizontal="left" shrinkToFit="0" vertical="center" wrapText="1"/>
    </xf>
    <xf borderId="4" fillId="9" fontId="15" numFmtId="0" xfId="0" applyAlignment="1" applyBorder="1" applyFont="1">
      <alignment horizontal="left" readingOrder="0" shrinkToFit="0" vertical="center" wrapText="1"/>
    </xf>
    <xf borderId="16" fillId="4" fontId="14" numFmtId="0" xfId="0" applyAlignment="1" applyBorder="1" applyFont="1">
      <alignment horizontal="left" readingOrder="0" shrinkToFit="0" vertical="center" wrapText="1"/>
    </xf>
    <xf borderId="16" fillId="0" fontId="14" numFmtId="164" xfId="0" applyAlignment="1" applyBorder="1" applyFont="1" applyNumberFormat="1">
      <alignment horizontal="left" shrinkToFit="0" vertical="center" wrapText="1"/>
    </xf>
    <xf borderId="16" fillId="4" fontId="16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39" fillId="3" fontId="5" numFmtId="0" xfId="0" applyAlignment="1" applyBorder="1" applyFont="1">
      <alignment horizontal="left" shrinkToFit="0" vertical="center" wrapText="1"/>
    </xf>
    <xf borderId="40" fillId="0" fontId="4" numFmtId="0" xfId="0" applyBorder="1" applyFont="1"/>
    <xf borderId="41" fillId="0" fontId="4" numFmtId="0" xfId="0" applyBorder="1" applyFont="1"/>
    <xf borderId="42" fillId="4" fontId="7" numFmtId="0" xfId="0" applyAlignment="1" applyBorder="1" applyFont="1">
      <alignment horizontal="left" readingOrder="0" shrinkToFit="0" vertical="center" wrapText="1"/>
    </xf>
    <xf borderId="43" fillId="0" fontId="4" numFmtId="0" xfId="0" applyBorder="1" applyFont="1"/>
    <xf borderId="44" fillId="0" fontId="4" numFmtId="0" xfId="0" applyBorder="1" applyFont="1"/>
    <xf borderId="8" fillId="5" fontId="5" numFmtId="0" xfId="0" applyAlignment="1" applyBorder="1" applyFont="1">
      <alignment horizontal="left" shrinkToFit="0" vertical="center" wrapText="1"/>
    </xf>
    <xf borderId="45" fillId="0" fontId="4" numFmtId="0" xfId="0" applyBorder="1" applyFont="1"/>
    <xf borderId="0" fillId="0" fontId="22" numFmtId="0" xfId="0" applyAlignment="1" applyFont="1">
      <alignment horizontal="left" readingOrder="0" shrinkToFit="0" vertical="center" wrapText="1"/>
    </xf>
    <xf borderId="46" fillId="6" fontId="7" numFmtId="0" xfId="0" applyAlignment="1" applyBorder="1" applyFont="1">
      <alignment horizontal="left" readingOrder="0" shrinkToFit="0" vertical="center" wrapText="1"/>
    </xf>
    <xf borderId="47" fillId="0" fontId="4" numFmtId="0" xfId="0" applyBorder="1" applyFont="1"/>
    <xf borderId="48" fillId="6" fontId="9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5" fillId="0" fontId="16" numFmtId="0" xfId="0" applyAlignment="1" applyBorder="1" applyFont="1">
      <alignment horizontal="left" readingOrder="0" shrinkToFit="0" vertical="center" wrapText="1"/>
    </xf>
    <xf borderId="4" fillId="7" fontId="10" numFmtId="0" xfId="0" applyAlignment="1" applyBorder="1" applyFont="1">
      <alignment horizontal="left" shrinkToFit="0" vertical="center" wrapText="1"/>
    </xf>
    <xf borderId="25" fillId="0" fontId="10" numFmtId="0" xfId="0" applyAlignment="1" applyBorder="1" applyFont="1">
      <alignment horizontal="left" readingOrder="0" shrinkToFit="0" vertical="center" wrapText="1"/>
    </xf>
    <xf borderId="50" fillId="0" fontId="6" numFmtId="0" xfId="0" applyAlignment="1" applyBorder="1" applyFont="1">
      <alignment horizontal="left" shrinkToFit="0" vertical="center" wrapText="1"/>
    </xf>
    <xf borderId="18" fillId="0" fontId="10" numFmtId="0" xfId="0" applyAlignment="1" applyBorder="1" applyFont="1">
      <alignment horizontal="left" readingOrder="0" shrinkToFit="0" vertical="center" wrapText="1"/>
    </xf>
    <xf borderId="4" fillId="0" fontId="16" numFmtId="0" xfId="0" applyAlignment="1" applyBorder="1" applyFont="1">
      <alignment horizontal="left" readingOrder="0" shrinkToFit="0" vertical="center" wrapText="1"/>
    </xf>
    <xf borderId="7" fillId="5" fontId="5" numFmtId="0" xfId="0" applyAlignment="1" applyBorder="1" applyFont="1">
      <alignment horizontal="left" shrinkToFit="0" vertical="center" wrapText="1"/>
    </xf>
    <xf borderId="51" fillId="5" fontId="5" numFmtId="0" xfId="0" applyAlignment="1" applyBorder="1" applyFont="1">
      <alignment horizontal="left" shrinkToFit="0" vertical="center" wrapText="1"/>
    </xf>
    <xf borderId="10" fillId="9" fontId="7" numFmtId="0" xfId="0" applyAlignment="1" applyBorder="1" applyFont="1">
      <alignment horizontal="left" readingOrder="0" shrinkToFit="0" vertical="center" wrapText="1"/>
    </xf>
    <xf borderId="16" fillId="9" fontId="7" numFmtId="0" xfId="0" applyAlignment="1" applyBorder="1" applyFont="1">
      <alignment horizontal="left" readingOrder="0" shrinkToFit="0" vertical="center" wrapText="1"/>
    </xf>
    <xf borderId="16" fillId="9" fontId="7" numFmtId="0" xfId="0" applyAlignment="1" applyBorder="1" applyFont="1">
      <alignment horizontal="left" shrinkToFit="0" vertical="center" wrapText="1"/>
    </xf>
    <xf borderId="52" fillId="9" fontId="7" numFmtId="0" xfId="0" applyAlignment="1" applyBorder="1" applyFont="1">
      <alignment horizontal="left" shrinkToFit="0" vertical="center" wrapText="1"/>
    </xf>
    <xf borderId="53" fillId="4" fontId="6" numFmtId="0" xfId="0" applyAlignment="1" applyBorder="1" applyFont="1">
      <alignment horizontal="left" readingOrder="0" shrinkToFit="0" vertical="center" wrapText="1"/>
    </xf>
    <xf borderId="2" fillId="0" fontId="6" numFmtId="164" xfId="0" applyAlignment="1" applyBorder="1" applyFont="1" applyNumberFormat="1">
      <alignment horizontal="left" readingOrder="0" shrinkToFit="0" vertical="center" wrapText="1"/>
    </xf>
    <xf borderId="54" fillId="4" fontId="6" numFmtId="0" xfId="0" applyAlignment="1" applyBorder="1" applyFont="1">
      <alignment horizontal="left" readingOrder="0" shrinkToFit="0" vertical="center" wrapText="1"/>
    </xf>
    <xf borderId="55" fillId="0" fontId="4" numFmtId="0" xfId="0" applyBorder="1" applyFont="1"/>
    <xf borderId="56" fillId="0" fontId="4" numFmtId="0" xfId="0" applyBorder="1" applyFont="1"/>
    <xf borderId="54" fillId="4" fontId="6" numFmtId="0" xfId="0" applyAlignment="1" applyBorder="1" applyFont="1">
      <alignment horizontal="left" shrinkToFit="0" vertical="center" wrapText="1"/>
    </xf>
    <xf borderId="57" fillId="0" fontId="4" numFmtId="0" xfId="0" applyBorder="1" applyFont="1"/>
    <xf borderId="19" fillId="0" fontId="16" numFmtId="0" xfId="0" applyAlignment="1" applyBorder="1" applyFont="1">
      <alignment horizontal="left" readingOrder="0" shrinkToFit="0" vertical="center" wrapText="1"/>
    </xf>
    <xf borderId="19" fillId="0" fontId="6" numFmtId="0" xfId="0" applyAlignment="1" applyBorder="1" applyFont="1">
      <alignment horizontal="left" readingOrder="0" shrinkToFit="0" vertical="center" wrapText="1"/>
    </xf>
    <xf borderId="5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26.5"/>
    <col customWidth="1" min="3" max="3" width="13.5"/>
    <col customWidth="1" min="4" max="4" width="53.25"/>
    <col customWidth="1" min="5" max="7" width="9.13"/>
    <col customWidth="1" min="8" max="26" width="8.0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1"/>
      <c r="B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75" customHeight="1">
      <c r="A3" s="1"/>
      <c r="B3" s="3" t="s">
        <v>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4" t="s">
        <v>2</v>
      </c>
      <c r="C5" s="5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6" t="s">
        <v>4</v>
      </c>
      <c r="C6" s="7" t="s">
        <v>5</v>
      </c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9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0" customHeight="1">
      <c r="A8" s="1"/>
      <c r="B8" s="10" t="s">
        <v>6</v>
      </c>
      <c r="C8" s="11" t="s">
        <v>7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13" t="s">
        <v>8</v>
      </c>
      <c r="C9" s="14" t="s">
        <v>9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3" t="s">
        <v>10</v>
      </c>
      <c r="C10" s="14" t="s">
        <v>11</v>
      </c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/>
      <c r="B11" s="13" t="s">
        <v>12</v>
      </c>
      <c r="C11" s="14" t="s">
        <v>11</v>
      </c>
      <c r="D11" s="1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1"/>
      <c r="B12" s="13" t="s">
        <v>13</v>
      </c>
      <c r="C12" s="14" t="s">
        <v>14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"/>
      <c r="B13" s="16" t="s">
        <v>15</v>
      </c>
      <c r="C13" s="17" t="s">
        <v>16</v>
      </c>
      <c r="D13" s="1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C12:D12"/>
    <mergeCell ref="C13:D13"/>
    <mergeCell ref="B2:D2"/>
    <mergeCell ref="B3:G3"/>
    <mergeCell ref="C6:D6"/>
    <mergeCell ref="C8:D8"/>
    <mergeCell ref="C9:D9"/>
    <mergeCell ref="C10:D10"/>
    <mergeCell ref="C11:D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31.63"/>
    <col customWidth="1" min="3" max="3" width="30.5"/>
    <col customWidth="1" min="4" max="4" width="17.13"/>
    <col customWidth="1" min="5" max="5" width="16.5"/>
    <col customWidth="1" min="6" max="6" width="20.75"/>
    <col customWidth="1" min="7" max="24" width="8.0"/>
  </cols>
  <sheetData>
    <row r="1" ht="15.0" customHeight="1">
      <c r="A1" s="19" t="s">
        <v>17</v>
      </c>
      <c r="B1" s="20"/>
      <c r="C1" s="20"/>
      <c r="D1" s="20"/>
      <c r="E1" s="20"/>
      <c r="F1" s="8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ht="36.75" customHeight="1">
      <c r="A2" s="22" t="s">
        <v>18</v>
      </c>
      <c r="B2" s="20"/>
      <c r="C2" s="20"/>
      <c r="D2" s="20"/>
      <c r="E2" s="20"/>
      <c r="F2" s="8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ht="13.5" customHeight="1">
      <c r="A3" s="23"/>
      <c r="B3" s="23"/>
      <c r="C3" s="23"/>
      <c r="D3" s="23"/>
      <c r="E3" s="23"/>
      <c r="F3" s="23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ht="25.5" customHeight="1">
      <c r="A4" s="24" t="s">
        <v>19</v>
      </c>
      <c r="B4" s="24" t="s">
        <v>20</v>
      </c>
      <c r="C4" s="24" t="s">
        <v>21</v>
      </c>
      <c r="D4" s="25" t="s">
        <v>22</v>
      </c>
      <c r="E4" s="24" t="s">
        <v>23</v>
      </c>
      <c r="F4" s="24" t="s">
        <v>24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ht="12.75" customHeight="1">
      <c r="A5" s="26" t="s">
        <v>25</v>
      </c>
      <c r="B5" s="20"/>
      <c r="C5" s="20"/>
      <c r="D5" s="20"/>
      <c r="E5" s="20"/>
      <c r="F5" s="8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ht="12.75" customHeight="1">
      <c r="A6" s="27" t="s">
        <v>26</v>
      </c>
      <c r="B6" s="20"/>
      <c r="C6" s="20"/>
      <c r="D6" s="20"/>
      <c r="E6" s="20"/>
      <c r="F6" s="8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ht="12.75" customHeight="1">
      <c r="A7" s="27" t="s">
        <v>27</v>
      </c>
      <c r="B7" s="20"/>
      <c r="C7" s="20"/>
      <c r="D7" s="20"/>
      <c r="E7" s="20"/>
      <c r="F7" s="8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ht="13.5" customHeight="1">
      <c r="A8" s="28"/>
      <c r="B8" s="20"/>
      <c r="C8" s="20"/>
      <c r="D8" s="20"/>
      <c r="E8" s="20"/>
      <c r="F8" s="8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ht="12.75" customHeight="1">
      <c r="A9" s="29">
        <v>1.0</v>
      </c>
      <c r="B9" s="29" t="s">
        <v>28</v>
      </c>
      <c r="C9" s="29"/>
      <c r="D9" s="29"/>
      <c r="E9" s="30"/>
      <c r="F9" s="3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ht="12.75" customHeight="1">
      <c r="A10" s="29">
        <v>2.0</v>
      </c>
      <c r="B10" s="29" t="s">
        <v>29</v>
      </c>
      <c r="C10" s="29"/>
      <c r="D10" s="23"/>
      <c r="E10" s="30"/>
      <c r="F10" s="32" t="s">
        <v>30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ht="12.75" customHeight="1">
      <c r="A11" s="29">
        <v>3.0</v>
      </c>
      <c r="B11" s="29" t="s">
        <v>31</v>
      </c>
      <c r="C11" s="23"/>
      <c r="D11" s="23"/>
      <c r="E11" s="30"/>
      <c r="F11" s="33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ht="48.0" customHeight="1">
      <c r="A12" s="29">
        <v>4.0</v>
      </c>
      <c r="B12" s="29" t="s">
        <v>32</v>
      </c>
      <c r="C12" s="29"/>
      <c r="D12" s="23"/>
      <c r="E12" s="30"/>
      <c r="F12" s="33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ht="48.0" customHeight="1">
      <c r="A13" s="29">
        <v>5.0</v>
      </c>
      <c r="B13" s="29" t="s">
        <v>33</v>
      </c>
      <c r="C13" s="29" t="s">
        <v>34</v>
      </c>
      <c r="D13" s="23"/>
      <c r="E13" s="30"/>
      <c r="F13" s="3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ht="12.75" customHeight="1">
      <c r="A14" s="26" t="s">
        <v>35</v>
      </c>
      <c r="B14" s="20"/>
      <c r="C14" s="20"/>
      <c r="D14" s="20"/>
      <c r="E14" s="20"/>
      <c r="F14" s="8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ht="12.75" customHeight="1">
      <c r="A15" s="27" t="s">
        <v>36</v>
      </c>
      <c r="B15" s="20"/>
      <c r="C15" s="20"/>
      <c r="D15" s="20"/>
      <c r="E15" s="20"/>
      <c r="F15" s="8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ht="12.75" customHeight="1">
      <c r="A16" s="27" t="s">
        <v>37</v>
      </c>
      <c r="B16" s="20"/>
      <c r="C16" s="20"/>
      <c r="D16" s="20"/>
      <c r="E16" s="20"/>
      <c r="F16" s="8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ht="13.5" customHeight="1">
      <c r="A17" s="28"/>
      <c r="B17" s="20"/>
      <c r="C17" s="20"/>
      <c r="D17" s="20"/>
      <c r="E17" s="20"/>
      <c r="F17" s="8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ht="12.75" customHeight="1">
      <c r="A18" s="29">
        <v>1.0</v>
      </c>
      <c r="B18" s="35" t="s">
        <v>38</v>
      </c>
      <c r="C18" s="29"/>
      <c r="D18" s="23"/>
      <c r="E18" s="30"/>
      <c r="F18" s="32" t="s">
        <v>30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ht="12.75" customHeight="1">
      <c r="A19" s="29">
        <v>2.0</v>
      </c>
      <c r="B19" s="35" t="s">
        <v>39</v>
      </c>
      <c r="C19" s="23"/>
      <c r="D19" s="23"/>
      <c r="E19" s="30"/>
      <c r="F19" s="33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ht="12.75" customHeight="1">
      <c r="A20" s="29">
        <v>3.0</v>
      </c>
      <c r="B20" s="35" t="s">
        <v>40</v>
      </c>
      <c r="C20" s="36" t="s">
        <v>41</v>
      </c>
      <c r="D20" s="23"/>
      <c r="E20" s="30"/>
      <c r="F20" s="34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ht="12.75" customHeight="1">
      <c r="A21" s="26" t="s">
        <v>42</v>
      </c>
      <c r="B21" s="20"/>
      <c r="C21" s="20"/>
      <c r="D21" s="20"/>
      <c r="E21" s="20"/>
      <c r="F21" s="8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ht="12.75" customHeight="1">
      <c r="A22" s="27" t="s">
        <v>43</v>
      </c>
      <c r="B22" s="20"/>
      <c r="C22" s="20"/>
      <c r="D22" s="20"/>
      <c r="E22" s="20"/>
      <c r="F22" s="8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ht="12.75" customHeight="1">
      <c r="A23" s="27" t="s">
        <v>37</v>
      </c>
      <c r="B23" s="20"/>
      <c r="C23" s="20"/>
      <c r="D23" s="20"/>
      <c r="E23" s="20"/>
      <c r="F23" s="8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ht="13.5" customHeight="1">
      <c r="A24" s="28"/>
      <c r="B24" s="20"/>
      <c r="C24" s="20"/>
      <c r="D24" s="20"/>
      <c r="E24" s="20"/>
      <c r="F24" s="8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ht="12.75" customHeight="1">
      <c r="A25" s="29">
        <v>1.0</v>
      </c>
      <c r="B25" s="35" t="s">
        <v>38</v>
      </c>
      <c r="C25" s="29"/>
      <c r="D25" s="23"/>
      <c r="E25" s="30"/>
      <c r="F25" s="32" t="s">
        <v>30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ht="12.75" customHeight="1">
      <c r="A26" s="29">
        <v>2.0</v>
      </c>
      <c r="B26" s="35" t="s">
        <v>44</v>
      </c>
      <c r="C26" s="23"/>
      <c r="D26" s="23"/>
      <c r="E26" s="30"/>
      <c r="F26" s="33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ht="12.75" customHeight="1">
      <c r="A27" s="29">
        <v>3.0</v>
      </c>
      <c r="B27" s="35" t="s">
        <v>45</v>
      </c>
      <c r="C27" s="37"/>
      <c r="D27" s="23"/>
      <c r="E27" s="30"/>
      <c r="F27" s="33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ht="25.5" customHeight="1">
      <c r="A28" s="29">
        <v>4.0</v>
      </c>
      <c r="B28" s="35" t="s">
        <v>40</v>
      </c>
      <c r="C28" s="36" t="s">
        <v>46</v>
      </c>
      <c r="D28" s="23"/>
      <c r="E28" s="30"/>
      <c r="F28" s="34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ht="12.75" customHeight="1">
      <c r="A29" s="26" t="s">
        <v>47</v>
      </c>
      <c r="B29" s="20"/>
      <c r="C29" s="20"/>
      <c r="D29" s="20"/>
      <c r="E29" s="20"/>
      <c r="F29" s="8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ht="12.75" customHeight="1">
      <c r="A30" s="27" t="s">
        <v>43</v>
      </c>
      <c r="B30" s="20"/>
      <c r="C30" s="20"/>
      <c r="D30" s="20"/>
      <c r="E30" s="20"/>
      <c r="F30" s="8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ht="12.75" customHeight="1">
      <c r="A31" s="27" t="s">
        <v>37</v>
      </c>
      <c r="B31" s="20"/>
      <c r="C31" s="20"/>
      <c r="D31" s="20"/>
      <c r="E31" s="20"/>
      <c r="F31" s="8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ht="13.5" customHeight="1">
      <c r="A32" s="28"/>
      <c r="B32" s="20"/>
      <c r="C32" s="20"/>
      <c r="D32" s="20"/>
      <c r="E32" s="20"/>
      <c r="F32" s="8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ht="12.75" customHeight="1">
      <c r="A33" s="29">
        <v>1.0</v>
      </c>
      <c r="B33" s="35" t="s">
        <v>38</v>
      </c>
      <c r="C33" s="29"/>
      <c r="D33" s="23"/>
      <c r="E33" s="30"/>
      <c r="F33" s="32" t="s">
        <v>30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ht="12.75" customHeight="1">
      <c r="A34" s="29">
        <v>2.0</v>
      </c>
      <c r="B34" s="35" t="s">
        <v>48</v>
      </c>
      <c r="C34" s="23"/>
      <c r="D34" s="23"/>
      <c r="E34" s="30"/>
      <c r="F34" s="33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ht="12.75" customHeight="1">
      <c r="A35" s="29">
        <v>3.0</v>
      </c>
      <c r="B35" s="35" t="s">
        <v>40</v>
      </c>
      <c r="C35" s="36" t="s">
        <v>49</v>
      </c>
      <c r="D35" s="23"/>
      <c r="E35" s="30"/>
      <c r="F35" s="34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ht="12.75" customHeight="1">
      <c r="A36" s="26" t="s">
        <v>50</v>
      </c>
      <c r="B36" s="20"/>
      <c r="C36" s="20"/>
      <c r="D36" s="20"/>
      <c r="E36" s="20"/>
      <c r="F36" s="8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ht="12.75" customHeight="1">
      <c r="A37" s="27" t="s">
        <v>43</v>
      </c>
      <c r="B37" s="20"/>
      <c r="C37" s="20"/>
      <c r="D37" s="20"/>
      <c r="E37" s="20"/>
      <c r="F37" s="8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ht="12.75" customHeight="1">
      <c r="A38" s="27" t="s">
        <v>37</v>
      </c>
      <c r="B38" s="20"/>
      <c r="C38" s="20"/>
      <c r="D38" s="20"/>
      <c r="E38" s="20"/>
      <c r="F38" s="8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ht="13.5" customHeight="1">
      <c r="A39" s="28"/>
      <c r="B39" s="20"/>
      <c r="C39" s="20"/>
      <c r="D39" s="20"/>
      <c r="E39" s="20"/>
      <c r="F39" s="8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ht="12.75" customHeight="1">
      <c r="A40" s="29">
        <v>1.0</v>
      </c>
      <c r="B40" s="35" t="s">
        <v>38</v>
      </c>
      <c r="C40" s="29"/>
      <c r="D40" s="23"/>
      <c r="E40" s="30"/>
      <c r="F40" s="32" t="s">
        <v>30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ht="12.75" customHeight="1">
      <c r="A41" s="29">
        <v>2.0</v>
      </c>
      <c r="B41" s="35" t="s">
        <v>48</v>
      </c>
      <c r="C41" s="23"/>
      <c r="D41" s="23"/>
      <c r="E41" s="30"/>
      <c r="F41" s="33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ht="12.75" customHeight="1">
      <c r="A42" s="29">
        <v>3.0</v>
      </c>
      <c r="B42" s="35" t="s">
        <v>39</v>
      </c>
      <c r="C42" s="37"/>
      <c r="D42" s="23"/>
      <c r="E42" s="30"/>
      <c r="F42" s="33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ht="25.5" customHeight="1">
      <c r="A43" s="29">
        <v>4.0</v>
      </c>
      <c r="B43" s="35" t="s">
        <v>51</v>
      </c>
      <c r="C43" s="36" t="s">
        <v>52</v>
      </c>
      <c r="D43" s="23"/>
      <c r="E43" s="30"/>
      <c r="F43" s="34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ht="12.75" customHeight="1">
      <c r="A44" s="26" t="s">
        <v>53</v>
      </c>
      <c r="B44" s="20"/>
      <c r="C44" s="20"/>
      <c r="D44" s="20"/>
      <c r="E44" s="20"/>
      <c r="F44" s="8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ht="12.75" customHeight="1">
      <c r="A45" s="27" t="s">
        <v>54</v>
      </c>
      <c r="B45" s="20"/>
      <c r="C45" s="20"/>
      <c r="D45" s="20"/>
      <c r="E45" s="20"/>
      <c r="F45" s="8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ht="12.75" customHeight="1">
      <c r="A46" s="27" t="s">
        <v>37</v>
      </c>
      <c r="B46" s="20"/>
      <c r="C46" s="20"/>
      <c r="D46" s="20"/>
      <c r="E46" s="20"/>
      <c r="F46" s="8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ht="13.5" customHeight="1">
      <c r="A47" s="28"/>
      <c r="B47" s="20"/>
      <c r="C47" s="20"/>
      <c r="D47" s="20"/>
      <c r="E47" s="20"/>
      <c r="F47" s="8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ht="12.75" customHeight="1">
      <c r="A48" s="29">
        <v>1.0</v>
      </c>
      <c r="B48" s="35" t="s">
        <v>38</v>
      </c>
      <c r="C48" s="29"/>
      <c r="D48" s="23"/>
      <c r="E48" s="30"/>
      <c r="F48" s="32" t="s">
        <v>30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ht="25.5" customHeight="1">
      <c r="A49" s="29">
        <v>2.0</v>
      </c>
      <c r="B49" s="35" t="s">
        <v>51</v>
      </c>
      <c r="C49" s="36" t="s">
        <v>52</v>
      </c>
      <c r="D49" s="23"/>
      <c r="E49" s="30"/>
      <c r="F49" s="34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ht="12.75" customHeight="1">
      <c r="A50" s="38" t="s">
        <v>55</v>
      </c>
      <c r="B50" s="20"/>
      <c r="C50" s="20"/>
      <c r="D50" s="20"/>
      <c r="E50" s="20"/>
      <c r="F50" s="8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</row>
    <row r="51" ht="12.75" customHeight="1">
      <c r="A51" s="40" t="s">
        <v>43</v>
      </c>
      <c r="B51" s="20"/>
      <c r="C51" s="20"/>
      <c r="D51" s="20"/>
      <c r="E51" s="20"/>
      <c r="F51" s="8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</row>
    <row r="52" ht="12.75" customHeight="1">
      <c r="A52" s="40" t="s">
        <v>37</v>
      </c>
      <c r="B52" s="20"/>
      <c r="C52" s="20"/>
      <c r="D52" s="20"/>
      <c r="E52" s="20"/>
      <c r="F52" s="8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</row>
    <row r="53" ht="12.75" customHeight="1">
      <c r="A53" s="41"/>
      <c r="B53" s="20"/>
      <c r="C53" s="20"/>
      <c r="D53" s="20"/>
      <c r="E53" s="20"/>
      <c r="F53" s="8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</row>
    <row r="54" ht="12.75" customHeight="1">
      <c r="A54" s="42">
        <v>1.0</v>
      </c>
      <c r="B54" s="43" t="s">
        <v>38</v>
      </c>
      <c r="C54" s="44"/>
      <c r="D54" s="44"/>
      <c r="E54" s="45"/>
      <c r="F54" s="46" t="s">
        <v>30</v>
      </c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</row>
    <row r="55" ht="12.75" customHeight="1">
      <c r="A55" s="42">
        <v>2.0</v>
      </c>
      <c r="B55" s="43" t="s">
        <v>48</v>
      </c>
      <c r="C55" s="44"/>
      <c r="D55" s="44"/>
      <c r="E55" s="45"/>
      <c r="F55" s="33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</row>
    <row r="56" ht="12.75" customHeight="1">
      <c r="A56" s="42">
        <v>3.0</v>
      </c>
      <c r="B56" s="43" t="s">
        <v>39</v>
      </c>
      <c r="C56" s="44"/>
      <c r="D56" s="44"/>
      <c r="E56" s="45"/>
      <c r="F56" s="33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</row>
    <row r="57" ht="12.75" customHeight="1">
      <c r="A57" s="42">
        <v>4.0</v>
      </c>
      <c r="B57" s="35" t="s">
        <v>56</v>
      </c>
      <c r="C57" s="44" t="s">
        <v>52</v>
      </c>
      <c r="D57" s="44"/>
      <c r="E57" s="45"/>
      <c r="F57" s="34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</row>
    <row r="58" ht="12.75" customHeight="1">
      <c r="A58" s="38" t="s">
        <v>57</v>
      </c>
      <c r="B58" s="20"/>
      <c r="C58" s="20"/>
      <c r="D58" s="20"/>
      <c r="E58" s="20"/>
      <c r="F58" s="8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</row>
    <row r="59" ht="12.75" customHeight="1">
      <c r="A59" s="40" t="s">
        <v>54</v>
      </c>
      <c r="B59" s="20"/>
      <c r="C59" s="20"/>
      <c r="D59" s="20"/>
      <c r="E59" s="20"/>
      <c r="F59" s="8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</row>
    <row r="60" ht="12.75" customHeight="1">
      <c r="A60" s="40" t="s">
        <v>37</v>
      </c>
      <c r="B60" s="20"/>
      <c r="C60" s="20"/>
      <c r="D60" s="20"/>
      <c r="E60" s="20"/>
      <c r="F60" s="8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 ht="12.75" customHeight="1">
      <c r="A61" s="41"/>
      <c r="B61" s="20"/>
      <c r="C61" s="20"/>
      <c r="D61" s="20"/>
      <c r="E61" s="20"/>
      <c r="F61" s="8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</row>
    <row r="62" ht="12.75" customHeight="1">
      <c r="A62" s="42">
        <v>1.0</v>
      </c>
      <c r="B62" s="43" t="s">
        <v>38</v>
      </c>
      <c r="C62" s="44"/>
      <c r="D62" s="44"/>
      <c r="E62" s="45"/>
      <c r="F62" s="47" t="s">
        <v>30</v>
      </c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</row>
    <row r="63" ht="12.75" customHeight="1">
      <c r="A63" s="42">
        <v>2.0</v>
      </c>
      <c r="B63" s="35" t="s">
        <v>56</v>
      </c>
      <c r="C63" s="44" t="s">
        <v>52</v>
      </c>
      <c r="D63" s="44"/>
      <c r="E63" s="45"/>
      <c r="F63" s="34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</row>
    <row r="64" ht="12.75" customHeight="1">
      <c r="A64" s="38" t="s">
        <v>58</v>
      </c>
      <c r="B64" s="20"/>
      <c r="C64" s="20"/>
      <c r="D64" s="20"/>
      <c r="E64" s="20"/>
      <c r="F64" s="8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</row>
    <row r="65" ht="12.75" customHeight="1">
      <c r="A65" s="40" t="s">
        <v>54</v>
      </c>
      <c r="B65" s="20"/>
      <c r="C65" s="20"/>
      <c r="D65" s="20"/>
      <c r="E65" s="20"/>
      <c r="F65" s="8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</row>
    <row r="66" ht="12.75" customHeight="1">
      <c r="A66" s="40" t="s">
        <v>37</v>
      </c>
      <c r="B66" s="20"/>
      <c r="C66" s="20"/>
      <c r="D66" s="20"/>
      <c r="E66" s="20"/>
      <c r="F66" s="8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</row>
    <row r="67" ht="12.75" customHeight="1">
      <c r="A67" s="41"/>
      <c r="B67" s="20"/>
      <c r="C67" s="20"/>
      <c r="D67" s="20"/>
      <c r="E67" s="20"/>
      <c r="F67" s="8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</row>
    <row r="68" ht="12.75" customHeight="1">
      <c r="A68" s="42">
        <v>1.0</v>
      </c>
      <c r="B68" s="43" t="s">
        <v>38</v>
      </c>
      <c r="C68" s="44"/>
      <c r="D68" s="44"/>
      <c r="E68" s="45"/>
      <c r="F68" s="47" t="s">
        <v>30</v>
      </c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</row>
    <row r="69" ht="12.75" customHeight="1">
      <c r="A69" s="42">
        <v>2.0</v>
      </c>
      <c r="B69" s="48" t="s">
        <v>59</v>
      </c>
      <c r="C69" s="48" t="s">
        <v>60</v>
      </c>
      <c r="D69" s="44"/>
      <c r="E69" s="45"/>
      <c r="F69" s="34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</row>
    <row r="70" ht="12.75" customHeight="1">
      <c r="A70" s="38" t="s">
        <v>61</v>
      </c>
      <c r="B70" s="20"/>
      <c r="C70" s="20"/>
      <c r="D70" s="20"/>
      <c r="E70" s="20"/>
      <c r="F70" s="8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</row>
    <row r="71" ht="12.75" customHeight="1">
      <c r="A71" s="40" t="s">
        <v>43</v>
      </c>
      <c r="B71" s="20"/>
      <c r="C71" s="20"/>
      <c r="D71" s="20"/>
      <c r="E71" s="20"/>
      <c r="F71" s="8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</row>
    <row r="72" ht="12.75" customHeight="1">
      <c r="A72" s="40" t="s">
        <v>37</v>
      </c>
      <c r="B72" s="20"/>
      <c r="C72" s="20"/>
      <c r="D72" s="20"/>
      <c r="E72" s="20"/>
      <c r="F72" s="8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</row>
    <row r="73" ht="12.75" customHeight="1">
      <c r="A73" s="41"/>
      <c r="B73" s="20"/>
      <c r="C73" s="20"/>
      <c r="D73" s="20"/>
      <c r="E73" s="20"/>
      <c r="F73" s="8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</row>
    <row r="74" ht="12.75" customHeight="1">
      <c r="A74" s="42">
        <v>1.0</v>
      </c>
      <c r="B74" s="43" t="s">
        <v>38</v>
      </c>
      <c r="C74" s="44"/>
      <c r="D74" s="44"/>
      <c r="E74" s="45"/>
      <c r="F74" s="46" t="s">
        <v>30</v>
      </c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</row>
    <row r="75" ht="12.75" customHeight="1">
      <c r="A75" s="42">
        <v>2.0</v>
      </c>
      <c r="B75" s="43" t="s">
        <v>48</v>
      </c>
      <c r="C75" s="44"/>
      <c r="D75" s="44"/>
      <c r="E75" s="45"/>
      <c r="F75" s="33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</row>
    <row r="76" ht="12.75" customHeight="1">
      <c r="A76" s="42">
        <v>3.0</v>
      </c>
      <c r="B76" s="43" t="s">
        <v>39</v>
      </c>
      <c r="C76" s="44"/>
      <c r="D76" s="44"/>
      <c r="E76" s="45"/>
      <c r="F76" s="33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</row>
    <row r="77" ht="12.75" customHeight="1">
      <c r="A77" s="42">
        <v>4.0</v>
      </c>
      <c r="B77" s="35" t="s">
        <v>40</v>
      </c>
      <c r="C77" s="49" t="s">
        <v>62</v>
      </c>
      <c r="D77" s="44"/>
      <c r="E77" s="45"/>
      <c r="F77" s="34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</row>
    <row r="78" ht="12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ht="12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ht="12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ht="12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ht="12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ht="12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ht="12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ht="12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ht="12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ht="12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ht="12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ht="12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ht="12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ht="12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ht="12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ht="12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ht="12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ht="12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ht="12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ht="12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ht="12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ht="12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ht="12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ht="12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ht="12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ht="12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ht="12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ht="12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ht="12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ht="12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ht="12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ht="12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ht="12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ht="12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ht="12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ht="12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ht="12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ht="12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ht="12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ht="12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ht="12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ht="12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 ht="12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ht="12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ht="12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ht="12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ht="12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ht="12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ht="12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ht="12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ht="12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ht="12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ht="12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ht="12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ht="12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ht="12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ht="12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ht="12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ht="12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 ht="12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 ht="12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 ht="12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 ht="12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 ht="12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 ht="12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 ht="12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ht="12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ht="12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ht="12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ht="12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ht="12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ht="12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ht="12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ht="12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ht="12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ht="12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ht="12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ht="12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ht="12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ht="12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ht="12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ht="12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ht="12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ht="12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ht="12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ht="12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ht="12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ht="12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ht="12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ht="12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ht="12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ht="12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ht="12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ht="12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ht="12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ht="12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ht="12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ht="12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ht="12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ht="12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ht="12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ht="12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ht="12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ht="12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ht="12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ht="12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ht="12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ht="12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ht="12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ht="12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ht="12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ht="12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ht="12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ht="12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ht="12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ht="12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ht="12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ht="12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ht="12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ht="12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ht="12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ht="12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ht="12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ht="12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ht="12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ht="12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ht="12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ht="12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ht="12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ht="12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ht="12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ht="12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ht="12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ht="12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ht="12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ht="12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ht="12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ht="12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ht="12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ht="12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 ht="12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 ht="12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 ht="12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 ht="12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 ht="12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 ht="12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 ht="12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 ht="12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 ht="12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 ht="12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 ht="12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 ht="12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 ht="12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 ht="12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 ht="12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 ht="12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 ht="12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 ht="12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 ht="12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 ht="12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 ht="12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 ht="12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 ht="12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 ht="12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 ht="12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 ht="12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 ht="12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 ht="12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 ht="12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 ht="12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 ht="12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 ht="12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 ht="12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 ht="12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 ht="12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 ht="12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 ht="12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 ht="12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 ht="12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 ht="12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 ht="12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 ht="12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 ht="12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 ht="12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 ht="12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 ht="12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 ht="12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 ht="12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 ht="12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 ht="12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 ht="12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 ht="12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 ht="12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 ht="12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 ht="12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 ht="12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 ht="12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 ht="12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 ht="12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 ht="12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 ht="12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 ht="12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 ht="12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 ht="12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 ht="12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 ht="12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 ht="12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 ht="12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 ht="12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 ht="12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 ht="12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 ht="12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 ht="12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 ht="12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 ht="12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 ht="12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 ht="12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 ht="12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 ht="12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 ht="12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 ht="12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 ht="12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 ht="12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 ht="12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 ht="12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 ht="12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 ht="12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 ht="12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 ht="12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 ht="12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 ht="12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 ht="12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 ht="12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 ht="12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 ht="12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 ht="12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 ht="12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 ht="12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 ht="12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 ht="12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 ht="12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 ht="12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 ht="12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 ht="12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 ht="12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 ht="12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 ht="12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 ht="12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 ht="12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 ht="12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 ht="12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 ht="12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 ht="12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 ht="12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 ht="12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 ht="12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 ht="12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 ht="12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 ht="12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 ht="12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 ht="12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 ht="12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 ht="12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 ht="12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 ht="12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 ht="12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 ht="12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 ht="12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 ht="12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 ht="12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 ht="12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 ht="12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 ht="12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 ht="12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 ht="12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 ht="12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 ht="12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 ht="12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 ht="12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 ht="12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 ht="12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 ht="12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 ht="12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 ht="12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 ht="12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 ht="12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 ht="12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 ht="12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 ht="12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 ht="12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 ht="12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 ht="12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 ht="12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 ht="12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 ht="12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 ht="12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 ht="12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 ht="12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 ht="12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 ht="12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 ht="12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 ht="12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 ht="12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 ht="12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 ht="12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 ht="12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 ht="12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 ht="12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 ht="12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 ht="12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 ht="12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 ht="12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 ht="12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 ht="12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 ht="12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 ht="12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 ht="12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 ht="12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 ht="12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 ht="12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 ht="12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 ht="12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 ht="12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 ht="12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 ht="12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 ht="12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 ht="12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 ht="12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 ht="12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 ht="12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 ht="12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 ht="12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 ht="12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 ht="12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 ht="12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 ht="12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 ht="12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 ht="12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 ht="12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 ht="12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 ht="12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 ht="12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 ht="12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 ht="12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 ht="12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 ht="12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 ht="12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 ht="12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 ht="12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 ht="12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 ht="12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 ht="12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 ht="12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 ht="12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 ht="12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 ht="12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 ht="12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 ht="12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 ht="12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 ht="12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 ht="12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 ht="12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 ht="12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 ht="12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 ht="12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 ht="12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 ht="12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 ht="12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 ht="12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 ht="12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 ht="12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 ht="12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 ht="12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 ht="12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 ht="12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 ht="12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 ht="12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 ht="12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 ht="12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 ht="12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 ht="12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 ht="12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 ht="12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 ht="12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 ht="12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 ht="12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 ht="12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 ht="12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 ht="12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 ht="12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 ht="12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 ht="12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 ht="12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 ht="12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 ht="12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 ht="12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 ht="12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 ht="12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 ht="12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 ht="12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 ht="12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 ht="12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 ht="12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 ht="12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 ht="12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 ht="12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 ht="12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 ht="12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 ht="12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 ht="12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 ht="12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 ht="12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 ht="12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 ht="12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 ht="12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 ht="12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 ht="12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 ht="12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 ht="12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 ht="12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 ht="12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 ht="12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 ht="12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 ht="12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 ht="12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 ht="12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 ht="12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 ht="12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 ht="12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 ht="12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 ht="12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 ht="12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 ht="12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 ht="12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 ht="12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 ht="12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 ht="12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 ht="12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 ht="12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 ht="12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 ht="12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 ht="12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 ht="12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 ht="12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 ht="12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 ht="12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 ht="12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 ht="12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 ht="12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 ht="12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 ht="12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 ht="12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 ht="12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 ht="12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 ht="12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 ht="12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 ht="12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 ht="12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 ht="12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 ht="12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 ht="12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 ht="12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 ht="12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 ht="12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 ht="12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 ht="12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 ht="12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 ht="12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 ht="12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 ht="12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 ht="12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 ht="12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 ht="12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 ht="12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 ht="12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 ht="12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 ht="12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 ht="12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 ht="12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 ht="12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 ht="12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 ht="12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 ht="12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 ht="12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 ht="12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 ht="12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 ht="12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 ht="12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 ht="12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 ht="12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 ht="12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 ht="12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 ht="12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 ht="12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 ht="12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 ht="12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 ht="12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 ht="12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 ht="12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 ht="12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 ht="12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 ht="12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 ht="12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 ht="12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 ht="12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 ht="12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 ht="12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 ht="12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 ht="12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 ht="12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 ht="12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 ht="12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 ht="12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 ht="12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 ht="12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 ht="12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 ht="12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 ht="12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 ht="12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 ht="12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 ht="12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 ht="12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 ht="12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 ht="12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 ht="12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 ht="12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 ht="12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 ht="12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 ht="12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 ht="12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 ht="12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 ht="12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 ht="12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 ht="12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 ht="12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 ht="12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 ht="12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 ht="12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 ht="12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 ht="12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 ht="12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 ht="12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 ht="12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 ht="12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 ht="12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 ht="12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 ht="12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 ht="12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 ht="12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 ht="12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 ht="12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 ht="12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 ht="12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 ht="12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 ht="12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 ht="12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 ht="12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 ht="12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 ht="12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 ht="12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 ht="12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 ht="12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 ht="12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 ht="12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 ht="12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 ht="12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 ht="12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 ht="12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 ht="12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 ht="12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 ht="12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 ht="12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 ht="12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 ht="12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 ht="12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 ht="12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 ht="12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 ht="12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 ht="12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 ht="12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 ht="12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 ht="12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 ht="12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 ht="12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 ht="12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 ht="12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 ht="12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 ht="12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 ht="12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 ht="12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 ht="12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 ht="12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 ht="12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 ht="12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 ht="12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 ht="12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 ht="12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 ht="12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 ht="12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 ht="12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 ht="12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 ht="12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 ht="12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 ht="12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 ht="12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 ht="12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 ht="12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 ht="12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 ht="12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 ht="12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 ht="12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 ht="12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 ht="12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 ht="12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 ht="12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 ht="12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 ht="12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 ht="12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 ht="12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 ht="12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 ht="12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 ht="12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 ht="12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 ht="12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 ht="12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 ht="12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 ht="12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 ht="12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 ht="12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 ht="12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 ht="12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 ht="12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 ht="12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 ht="12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 ht="12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 ht="12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 ht="12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 ht="12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 ht="12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 ht="12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 ht="12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 ht="12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 ht="12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 ht="12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 ht="12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 ht="12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 ht="12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 ht="12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 ht="12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 ht="12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 ht="12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 ht="12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 ht="12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 ht="12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 ht="12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 ht="12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 ht="12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 ht="12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 ht="12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 ht="12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 ht="12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 ht="12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 ht="12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 ht="12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 ht="12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 ht="12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 ht="12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 ht="12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 ht="12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 ht="12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 ht="12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 ht="12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 ht="12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 ht="12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 ht="12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 ht="12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 ht="12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 ht="12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 ht="12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 ht="12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 ht="12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 ht="12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 ht="12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 ht="12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 ht="12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 ht="12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 ht="12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 ht="12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 ht="12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 ht="12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 ht="12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 ht="12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 ht="12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 ht="12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 ht="12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 ht="12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 ht="12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 ht="12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 ht="12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 ht="12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 ht="12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 ht="12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 ht="12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 ht="12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 ht="12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 ht="12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 ht="12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 ht="12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 ht="12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 ht="12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 ht="12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 ht="12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 ht="12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 ht="12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 ht="12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 ht="12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 ht="12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 ht="12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 ht="12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 ht="12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 ht="12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 ht="12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 ht="12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 ht="12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 ht="12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 ht="12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 ht="12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 ht="12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 ht="12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 ht="12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 ht="12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 ht="12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 ht="12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 ht="12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 ht="12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 ht="12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 ht="12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 ht="12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 ht="12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 ht="12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 ht="12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 ht="12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 ht="12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 ht="12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 ht="12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 ht="12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 ht="12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 ht="12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 ht="12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 ht="12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 ht="12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 ht="12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 ht="12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 ht="12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 ht="12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 ht="12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 ht="12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 ht="12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 ht="12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 ht="12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 ht="12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 ht="12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 ht="12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 ht="12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 ht="12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 ht="12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 ht="12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 ht="12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 ht="12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 ht="12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 ht="12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 ht="12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 ht="12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 ht="12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 ht="12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 ht="12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 ht="12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 ht="12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 ht="12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 ht="12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 ht="12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 ht="12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 ht="12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 ht="12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 ht="12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 ht="12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 ht="12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 ht="12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 ht="12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 ht="12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 ht="12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 ht="12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 ht="12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 ht="12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 ht="12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 ht="12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 ht="12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 ht="12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 ht="12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 ht="12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 ht="12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 ht="12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 ht="12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 ht="12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 ht="12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 ht="12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 ht="12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 ht="12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 ht="12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 ht="12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 ht="12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 ht="12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 ht="12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 ht="12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 ht="12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 ht="12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 ht="12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 ht="12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 ht="12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 ht="12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 ht="12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 ht="12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 ht="12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 ht="12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 ht="12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 ht="12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 ht="12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 ht="12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 ht="12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 ht="12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 ht="12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 ht="12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 ht="12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 ht="12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 ht="12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 ht="12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 ht="12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 ht="12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 ht="12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 ht="12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 ht="12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 ht="12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 ht="12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 ht="12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 ht="12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 ht="12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 ht="12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 ht="12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 ht="12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 ht="12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 ht="12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 ht="12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 ht="12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 ht="12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 ht="12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 ht="12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 ht="12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 ht="12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 ht="12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 ht="12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 ht="12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 ht="12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 ht="12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 ht="12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 ht="12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 ht="12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 ht="12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 ht="12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 ht="12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 ht="12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 ht="12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 ht="12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 ht="12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 ht="12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 ht="12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 ht="12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 ht="12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 ht="12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 ht="12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  <row r="985" ht="12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</row>
    <row r="986" ht="12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</row>
    <row r="987" ht="12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</row>
    <row r="988" ht="12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</row>
    <row r="989" ht="12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</row>
    <row r="990" ht="12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</row>
    <row r="991" ht="12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</row>
    <row r="992" ht="12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</row>
  </sheetData>
  <mergeCells count="52">
    <mergeCell ref="A1:F1"/>
    <mergeCell ref="A2:F2"/>
    <mergeCell ref="A5:F5"/>
    <mergeCell ref="A6:F6"/>
    <mergeCell ref="A7:F7"/>
    <mergeCell ref="A8:F8"/>
    <mergeCell ref="F10:F13"/>
    <mergeCell ref="A14:F14"/>
    <mergeCell ref="A15:F15"/>
    <mergeCell ref="A16:F16"/>
    <mergeCell ref="A17:F17"/>
    <mergeCell ref="F18:F20"/>
    <mergeCell ref="A21:F21"/>
    <mergeCell ref="A22:F22"/>
    <mergeCell ref="A23:F23"/>
    <mergeCell ref="A24:F24"/>
    <mergeCell ref="F25:F28"/>
    <mergeCell ref="A29:F29"/>
    <mergeCell ref="A30:F30"/>
    <mergeCell ref="A31:F31"/>
    <mergeCell ref="A32:F32"/>
    <mergeCell ref="F33:F35"/>
    <mergeCell ref="A36:F36"/>
    <mergeCell ref="A37:F37"/>
    <mergeCell ref="A38:F38"/>
    <mergeCell ref="A39:F39"/>
    <mergeCell ref="F40:F43"/>
    <mergeCell ref="A44:F44"/>
    <mergeCell ref="F48:F49"/>
    <mergeCell ref="F54:F57"/>
    <mergeCell ref="F62:F63"/>
    <mergeCell ref="F68:F69"/>
    <mergeCell ref="F74:F77"/>
    <mergeCell ref="A45:F45"/>
    <mergeCell ref="A46:F46"/>
    <mergeCell ref="A47:F47"/>
    <mergeCell ref="A50:F50"/>
    <mergeCell ref="A51:F51"/>
    <mergeCell ref="A52:F52"/>
    <mergeCell ref="A53:F53"/>
    <mergeCell ref="A67:F67"/>
    <mergeCell ref="A70:F70"/>
    <mergeCell ref="A71:F71"/>
    <mergeCell ref="A72:F72"/>
    <mergeCell ref="A73:F73"/>
    <mergeCell ref="A58:F58"/>
    <mergeCell ref="A59:F59"/>
    <mergeCell ref="A60:F60"/>
    <mergeCell ref="A61:F61"/>
    <mergeCell ref="A64:F64"/>
    <mergeCell ref="A65:F65"/>
    <mergeCell ref="A66:F66"/>
  </mergeCells>
  <dataValidations>
    <dataValidation type="list" allowBlank="1" sqref="F9:F10 F18 F25 F33 F40 F48 F54 F62 F68 F74">
      <formula1>"Developing,Tested"</formula1>
    </dataValidation>
  </dataValidations>
  <hyperlinks>
    <hyperlink display="Scenario 1:   Tạo sản phẩm thành công" location="'FUNC TC_THÊM SẢN PHẨM'!A8:B8" ref="A5"/>
    <hyperlink display="Scenario 2: Tạo không thành công vì để trống Tên sản phẩm" location="'FUNC TC_THÊM SẢN PHẨM'!A14:B14" ref="A14"/>
    <hyperlink display="Scenario 3: Tạo thành công khi Tên sản phẩm trên 50 ký tự" location="'FUNC TC_THÊM SẢN PHẨM'!A18:B18" ref="A21"/>
    <hyperlink display="Scenario 4: Tạo không thành công vì không chọn đơn vị tính" location="'FUNC TC_THÊM SẢN PHẨM'!A23:B23" ref="A29"/>
    <hyperlink display="Scenario 5: Bấm nút &quot;Hủy&quot; để dừng việc tạo khi đã nhập thông tin" location="'FUNC TC_THÊM SẢN PHẨM'!A27:B27" ref="A36"/>
    <hyperlink display="Scenario 6: Bấm nút &quot;Hủy&quot; để dừng việc tạo khi không nhập thông tin" location="'FUNC TC_THÊM SẢN PHẨM'!A32:B32" ref="A44"/>
    <hyperlink display="Scenario 7: Bấm nút &quot;X&quot; để dừng việc tạo khi đã nhập thông tin" location="'FUNC TC_THÊM SẢN PHẨM'!A35:B35" ref="A50"/>
    <hyperlink display="Scenario 8: Bấm nút &quot;X&quot; để dừng việc tạo khi không nhập thông tin" location="'FUNC TC_THÊM SẢN PHẨM'!A40:B40" ref="A58"/>
    <hyperlink display="Scenario 9: Tạo không thành công vì để trống Tên sản phẩm và Đơn vị tính" location="'FUNC TC_THÊM SẢN PHẨM'!A43:B43" ref="A64"/>
    <hyperlink display="Scenario 10: Tạo không thành công vì trùng Tên sản phẩm đã có trog danh sách" location="'FUNC TC_THÊM SẢN PHẨM'!A46:B46" ref="A70"/>
  </hyperlink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5"/>
    <col customWidth="1" min="2" max="2" width="25.5"/>
    <col customWidth="1" min="3" max="3" width="23.5"/>
    <col customWidth="1" min="4" max="4" width="32.63"/>
    <col customWidth="1" min="5" max="5" width="41.38"/>
    <col customWidth="1" min="6" max="6" width="31.88"/>
    <col customWidth="1" min="7" max="7" width="10.88"/>
    <col customWidth="1" min="8" max="8" width="8.0"/>
    <col customWidth="1" min="9" max="9" width="34.88"/>
    <col customWidth="1" min="10" max="11" width="8.0"/>
    <col customWidth="1" min="12" max="12" width="11.0"/>
    <col customWidth="1" min="13" max="30" width="8.0"/>
  </cols>
  <sheetData>
    <row r="1" ht="22.5" customHeight="1">
      <c r="A1" s="50"/>
      <c r="B1" s="51" t="s">
        <v>63</v>
      </c>
      <c r="C1" s="52" t="s">
        <v>64</v>
      </c>
      <c r="D1" s="52" t="s">
        <v>65</v>
      </c>
      <c r="E1" s="52" t="s">
        <v>66</v>
      </c>
      <c r="F1" s="52" t="s">
        <v>67</v>
      </c>
      <c r="G1" s="50"/>
      <c r="H1" s="21"/>
      <c r="I1" s="50"/>
      <c r="J1" s="21"/>
      <c r="K1" s="21"/>
      <c r="L1" s="50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ht="22.5" customHeight="1">
      <c r="A2" s="50"/>
      <c r="B2" s="53"/>
      <c r="C2" s="54">
        <f>COUNTIF(G1:G256,"Pass")</f>
        <v>7</v>
      </c>
      <c r="D2" s="54">
        <f>COUNTIF(G1:G256,"Fail")</f>
        <v>3</v>
      </c>
      <c r="E2" s="54">
        <f>COUNTIF(G1:G256,"Untested")</f>
        <v>0</v>
      </c>
      <c r="F2" s="54">
        <f>SUM(C2,D2,E2)</f>
        <v>10</v>
      </c>
      <c r="G2" s="50"/>
      <c r="H2" s="21"/>
      <c r="I2" s="50"/>
      <c r="J2" s="21"/>
      <c r="K2" s="21"/>
      <c r="L2" s="50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ht="22.5" customHeight="1">
      <c r="A3" s="50"/>
      <c r="B3" s="50"/>
      <c r="C3" s="50"/>
      <c r="D3" s="50"/>
      <c r="E3" s="50"/>
      <c r="F3" s="50"/>
      <c r="G3" s="50"/>
      <c r="H3" s="21"/>
      <c r="I3" s="50"/>
      <c r="J3" s="21"/>
      <c r="K3" s="21"/>
      <c r="L3" s="50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22.5" customHeight="1">
      <c r="A4" s="55"/>
      <c r="B4" s="56" t="s">
        <v>68</v>
      </c>
      <c r="C4" s="57" t="s">
        <v>64</v>
      </c>
      <c r="D4" s="57" t="s">
        <v>65</v>
      </c>
      <c r="E4" s="57" t="s">
        <v>66</v>
      </c>
      <c r="F4" s="57" t="s">
        <v>67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</row>
    <row r="5" ht="22.5" customHeight="1">
      <c r="A5" s="55"/>
      <c r="B5" s="58"/>
      <c r="C5" s="59">
        <f>COUNTIF(J4:J233,"Pass")</f>
        <v>9</v>
      </c>
      <c r="D5" s="59">
        <f>COUNTIF(J4:J233,"Fail")</f>
        <v>1</v>
      </c>
      <c r="E5" s="59">
        <f>COUNTIF(J4:J233,"Untested")</f>
        <v>0</v>
      </c>
      <c r="F5" s="59">
        <f>SUM(C5,D5,E5)</f>
        <v>10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</row>
    <row r="6" ht="22.5" customHeight="1">
      <c r="A6" s="50"/>
      <c r="B6" s="50"/>
      <c r="C6" s="50"/>
      <c r="D6" s="50"/>
      <c r="E6" s="50"/>
      <c r="F6" s="50"/>
      <c r="G6" s="50"/>
      <c r="H6" s="21"/>
      <c r="I6" s="50"/>
      <c r="J6" s="21"/>
      <c r="K6" s="21"/>
      <c r="L6" s="50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ht="45.75" customHeight="1">
      <c r="A7" s="60" t="s">
        <v>69</v>
      </c>
      <c r="B7" s="60" t="s">
        <v>70</v>
      </c>
      <c r="C7" s="60" t="s">
        <v>71</v>
      </c>
      <c r="D7" s="60" t="s">
        <v>72</v>
      </c>
      <c r="E7" s="60" t="s">
        <v>73</v>
      </c>
      <c r="F7" s="60" t="s">
        <v>74</v>
      </c>
      <c r="G7" s="60" t="s">
        <v>75</v>
      </c>
      <c r="H7" s="61" t="s">
        <v>76</v>
      </c>
      <c r="I7" s="61" t="s">
        <v>77</v>
      </c>
      <c r="J7" s="61" t="s">
        <v>78</v>
      </c>
      <c r="K7" s="61" t="s">
        <v>79</v>
      </c>
      <c r="L7" s="60" t="s">
        <v>80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ht="12.75" customHeight="1">
      <c r="A8" s="62" t="s">
        <v>81</v>
      </c>
      <c r="B8" s="63" t="s">
        <v>82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ht="24.0" customHeight="1">
      <c r="A9" s="65"/>
      <c r="B9" s="66"/>
      <c r="C9" s="67" t="s">
        <v>83</v>
      </c>
      <c r="D9" s="68" t="s">
        <v>84</v>
      </c>
      <c r="E9" s="68" t="s">
        <v>85</v>
      </c>
      <c r="F9" s="68" t="s">
        <v>85</v>
      </c>
      <c r="G9" s="67" t="s">
        <v>65</v>
      </c>
      <c r="H9" s="69">
        <v>46127.0</v>
      </c>
      <c r="I9" s="68" t="s">
        <v>85</v>
      </c>
      <c r="J9" s="67" t="s">
        <v>64</v>
      </c>
      <c r="K9" s="69">
        <v>46130.0</v>
      </c>
      <c r="L9" s="70" t="s">
        <v>86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ht="24.0" customHeight="1">
      <c r="A10" s="71"/>
      <c r="B10" s="66"/>
      <c r="C10" s="33"/>
      <c r="D10" s="68" t="s">
        <v>87</v>
      </c>
      <c r="E10" s="68" t="s">
        <v>88</v>
      </c>
      <c r="F10" s="68" t="s">
        <v>88</v>
      </c>
      <c r="G10" s="33"/>
      <c r="H10" s="33"/>
      <c r="I10" s="68" t="s">
        <v>88</v>
      </c>
      <c r="J10" s="33"/>
      <c r="K10" s="33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ht="15.0" customHeight="1">
      <c r="A11" s="71"/>
      <c r="B11" s="66"/>
      <c r="C11" s="33"/>
      <c r="D11" s="68" t="s">
        <v>89</v>
      </c>
      <c r="E11" s="68" t="s">
        <v>90</v>
      </c>
      <c r="F11" s="68" t="s">
        <v>91</v>
      </c>
      <c r="G11" s="33"/>
      <c r="H11" s="33"/>
      <c r="I11" s="68" t="s">
        <v>90</v>
      </c>
      <c r="J11" s="33"/>
      <c r="K11" s="33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ht="53.25" customHeight="1">
      <c r="A12" s="71"/>
      <c r="B12" s="66"/>
      <c r="C12" s="33"/>
      <c r="D12" s="68" t="s">
        <v>92</v>
      </c>
      <c r="E12" s="68" t="s">
        <v>93</v>
      </c>
      <c r="F12" s="72"/>
      <c r="G12" s="33"/>
      <c r="H12" s="33"/>
      <c r="I12" s="68" t="s">
        <v>93</v>
      </c>
      <c r="J12" s="33"/>
      <c r="K12" s="33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ht="53.25" customHeight="1">
      <c r="A13" s="73" t="s">
        <v>94</v>
      </c>
      <c r="B13" s="74" t="s">
        <v>82</v>
      </c>
      <c r="C13" s="34"/>
      <c r="D13" s="68" t="s">
        <v>95</v>
      </c>
      <c r="E13" s="68" t="s">
        <v>96</v>
      </c>
      <c r="F13" s="72"/>
      <c r="G13" s="34"/>
      <c r="H13" s="34"/>
      <c r="I13" s="68" t="s">
        <v>96</v>
      </c>
      <c r="J13" s="34"/>
      <c r="K13" s="34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ht="22.5" customHeight="1">
      <c r="A14" s="75" t="s">
        <v>97</v>
      </c>
      <c r="B14" s="76" t="s">
        <v>98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ht="17.25" customHeight="1">
      <c r="A15" s="70"/>
      <c r="B15" s="67" t="s">
        <v>99</v>
      </c>
      <c r="C15" s="67" t="s">
        <v>83</v>
      </c>
      <c r="D15" s="68" t="s">
        <v>100</v>
      </c>
      <c r="E15" s="68" t="s">
        <v>101</v>
      </c>
      <c r="F15" s="68" t="s">
        <v>101</v>
      </c>
      <c r="G15" s="67" t="s">
        <v>65</v>
      </c>
      <c r="H15" s="69">
        <v>46127.0</v>
      </c>
      <c r="I15" s="68" t="s">
        <v>101</v>
      </c>
      <c r="J15" s="67" t="s">
        <v>64</v>
      </c>
      <c r="K15" s="69">
        <v>46130.0</v>
      </c>
      <c r="L15" s="70" t="s">
        <v>102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ht="18.75" customHeight="1">
      <c r="A16" s="70"/>
      <c r="B16" s="33"/>
      <c r="C16" s="33"/>
      <c r="D16" s="68" t="s">
        <v>103</v>
      </c>
      <c r="E16" s="68" t="s">
        <v>104</v>
      </c>
      <c r="F16" s="68" t="s">
        <v>104</v>
      </c>
      <c r="G16" s="33"/>
      <c r="H16" s="33"/>
      <c r="I16" s="68" t="s">
        <v>104</v>
      </c>
      <c r="J16" s="33"/>
      <c r="K16" s="3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ht="68.25" customHeight="1">
      <c r="A17" s="73" t="s">
        <v>105</v>
      </c>
      <c r="B17" s="34"/>
      <c r="C17" s="34"/>
      <c r="D17" s="68" t="s">
        <v>106</v>
      </c>
      <c r="E17" s="68" t="s">
        <v>107</v>
      </c>
      <c r="F17" s="68" t="s">
        <v>108</v>
      </c>
      <c r="G17" s="34"/>
      <c r="H17" s="34"/>
      <c r="I17" s="68" t="s">
        <v>107</v>
      </c>
      <c r="J17" s="34"/>
      <c r="K17" s="34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ht="22.5" customHeight="1">
      <c r="A18" s="78" t="s">
        <v>109</v>
      </c>
      <c r="B18" s="76" t="s">
        <v>110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ht="19.5" customHeight="1">
      <c r="A19" s="79"/>
      <c r="B19" s="67" t="s">
        <v>111</v>
      </c>
      <c r="C19" s="67" t="s">
        <v>83</v>
      </c>
      <c r="D19" s="68" t="s">
        <v>100</v>
      </c>
      <c r="E19" s="68" t="s">
        <v>101</v>
      </c>
      <c r="F19" s="68" t="s">
        <v>101</v>
      </c>
      <c r="G19" s="67" t="s">
        <v>64</v>
      </c>
      <c r="H19" s="69">
        <v>46127.0</v>
      </c>
      <c r="I19" s="68" t="s">
        <v>101</v>
      </c>
      <c r="J19" s="67" t="s">
        <v>64</v>
      </c>
      <c r="K19" s="69">
        <v>46130.0</v>
      </c>
      <c r="L19" s="70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ht="39.75" customHeight="1">
      <c r="A20" s="79" t="s">
        <v>112</v>
      </c>
      <c r="B20" s="33"/>
      <c r="C20" s="33"/>
      <c r="D20" s="68" t="s">
        <v>113</v>
      </c>
      <c r="E20" s="68" t="s">
        <v>114</v>
      </c>
      <c r="F20" s="68" t="s">
        <v>114</v>
      </c>
      <c r="G20" s="33"/>
      <c r="H20" s="33"/>
      <c r="I20" s="68" t="s">
        <v>114</v>
      </c>
      <c r="J20" s="33"/>
      <c r="K20" s="33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ht="25.5" customHeight="1">
      <c r="A21" s="79"/>
      <c r="B21" s="33"/>
      <c r="C21" s="33"/>
      <c r="D21" s="68" t="s">
        <v>115</v>
      </c>
      <c r="E21" s="68" t="s">
        <v>104</v>
      </c>
      <c r="F21" s="68" t="s">
        <v>104</v>
      </c>
      <c r="G21" s="33"/>
      <c r="H21" s="33"/>
      <c r="I21" s="68" t="s">
        <v>104</v>
      </c>
      <c r="J21" s="33"/>
      <c r="K21" s="33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ht="60.75" customHeight="1">
      <c r="A22" s="79"/>
      <c r="B22" s="34"/>
      <c r="C22" s="34"/>
      <c r="D22" s="68" t="s">
        <v>116</v>
      </c>
      <c r="E22" s="68" t="s">
        <v>117</v>
      </c>
      <c r="F22" s="68" t="s">
        <v>117</v>
      </c>
      <c r="G22" s="34"/>
      <c r="H22" s="34"/>
      <c r="I22" s="68" t="s">
        <v>117</v>
      </c>
      <c r="J22" s="34"/>
      <c r="K22" s="34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ht="22.5" customHeight="1">
      <c r="A23" s="80" t="s">
        <v>118</v>
      </c>
      <c r="B23" s="76" t="s">
        <v>119</v>
      </c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ht="18.75" customHeight="1">
      <c r="A24" s="65"/>
      <c r="B24" s="81" t="s">
        <v>119</v>
      </c>
      <c r="C24" s="67" t="s">
        <v>83</v>
      </c>
      <c r="D24" s="68" t="s">
        <v>120</v>
      </c>
      <c r="E24" s="68" t="s">
        <v>101</v>
      </c>
      <c r="F24" s="68" t="s">
        <v>101</v>
      </c>
      <c r="G24" s="67" t="s">
        <v>64</v>
      </c>
      <c r="H24" s="69">
        <v>46127.0</v>
      </c>
      <c r="I24" s="68" t="s">
        <v>101</v>
      </c>
      <c r="J24" s="67" t="s">
        <v>64</v>
      </c>
      <c r="K24" s="69">
        <v>46130.0</v>
      </c>
      <c r="L24" s="70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ht="18.75" customHeight="1">
      <c r="A25" s="71"/>
      <c r="B25" s="82"/>
      <c r="C25" s="33"/>
      <c r="D25" s="68" t="s">
        <v>121</v>
      </c>
      <c r="E25" s="68" t="s">
        <v>122</v>
      </c>
      <c r="F25" s="68" t="s">
        <v>122</v>
      </c>
      <c r="G25" s="33"/>
      <c r="H25" s="33"/>
      <c r="I25" s="68" t="s">
        <v>122</v>
      </c>
      <c r="J25" s="33"/>
      <c r="K25" s="3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ht="40.5" customHeight="1">
      <c r="A26" s="73" t="s">
        <v>123</v>
      </c>
      <c r="B26" s="83"/>
      <c r="C26" s="34"/>
      <c r="D26" s="68" t="s">
        <v>106</v>
      </c>
      <c r="E26" s="68" t="s">
        <v>124</v>
      </c>
      <c r="F26" s="68" t="s">
        <v>125</v>
      </c>
      <c r="G26" s="34"/>
      <c r="H26" s="34"/>
      <c r="I26" s="68" t="s">
        <v>124</v>
      </c>
      <c r="J26" s="34"/>
      <c r="K26" s="34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ht="22.5" customHeight="1">
      <c r="A27" s="78" t="s">
        <v>126</v>
      </c>
      <c r="B27" s="76" t="s">
        <v>127</v>
      </c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ht="19.5" customHeight="1">
      <c r="A28" s="65" t="s">
        <v>128</v>
      </c>
      <c r="B28" s="81" t="s">
        <v>127</v>
      </c>
      <c r="C28" s="67" t="s">
        <v>83</v>
      </c>
      <c r="D28" s="68" t="s">
        <v>120</v>
      </c>
      <c r="E28" s="68" t="s">
        <v>101</v>
      </c>
      <c r="F28" s="68" t="s">
        <v>101</v>
      </c>
      <c r="G28" s="67" t="s">
        <v>64</v>
      </c>
      <c r="H28" s="69">
        <v>46127.0</v>
      </c>
      <c r="I28" s="68" t="s">
        <v>101</v>
      </c>
      <c r="J28" s="67" t="s">
        <v>64</v>
      </c>
      <c r="K28" s="69">
        <v>46130.0</v>
      </c>
      <c r="L28" s="70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ht="19.5" customHeight="1">
      <c r="A29" s="33"/>
      <c r="B29" s="82"/>
      <c r="C29" s="33"/>
      <c r="D29" s="68" t="s">
        <v>129</v>
      </c>
      <c r="E29" s="68" t="s">
        <v>130</v>
      </c>
      <c r="F29" s="68" t="s">
        <v>130</v>
      </c>
      <c r="G29" s="33"/>
      <c r="H29" s="33"/>
      <c r="I29" s="68" t="s">
        <v>130</v>
      </c>
      <c r="J29" s="33"/>
      <c r="K29" s="33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ht="19.5" customHeight="1">
      <c r="A30" s="33"/>
      <c r="B30" s="82"/>
      <c r="C30" s="33"/>
      <c r="D30" s="68" t="s">
        <v>115</v>
      </c>
      <c r="E30" s="68" t="s">
        <v>104</v>
      </c>
      <c r="F30" s="68" t="s">
        <v>104</v>
      </c>
      <c r="G30" s="33"/>
      <c r="H30" s="33"/>
      <c r="I30" s="68" t="s">
        <v>104</v>
      </c>
      <c r="J30" s="33"/>
      <c r="K30" s="33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ht="51.75" customHeight="1">
      <c r="A31" s="34"/>
      <c r="B31" s="83"/>
      <c r="C31" s="34"/>
      <c r="D31" s="68" t="s">
        <v>131</v>
      </c>
      <c r="E31" s="68" t="s">
        <v>132</v>
      </c>
      <c r="F31" s="68" t="s">
        <v>132</v>
      </c>
      <c r="G31" s="34"/>
      <c r="H31" s="34"/>
      <c r="I31" s="68" t="s">
        <v>132</v>
      </c>
      <c r="J31" s="34"/>
      <c r="K31" s="34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ht="22.5" customHeight="1">
      <c r="A32" s="76" t="s">
        <v>133</v>
      </c>
      <c r="B32" s="76" t="s">
        <v>134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ht="23.25" customHeight="1">
      <c r="A33" s="70" t="s">
        <v>135</v>
      </c>
      <c r="B33" s="67" t="s">
        <v>134</v>
      </c>
      <c r="C33" s="67" t="s">
        <v>83</v>
      </c>
      <c r="D33" s="68" t="s">
        <v>120</v>
      </c>
      <c r="E33" s="68" t="s">
        <v>101</v>
      </c>
      <c r="F33" s="68" t="s">
        <v>101</v>
      </c>
      <c r="G33" s="67" t="s">
        <v>64</v>
      </c>
      <c r="H33" s="69">
        <v>46127.0</v>
      </c>
      <c r="I33" s="68" t="s">
        <v>101</v>
      </c>
      <c r="J33" s="67" t="s">
        <v>64</v>
      </c>
      <c r="K33" s="69">
        <v>46130.0</v>
      </c>
      <c r="L33" s="84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ht="48.75" customHeight="1">
      <c r="A34" s="70"/>
      <c r="B34" s="34"/>
      <c r="C34" s="34"/>
      <c r="D34" s="68" t="s">
        <v>136</v>
      </c>
      <c r="E34" s="68" t="s">
        <v>137</v>
      </c>
      <c r="F34" s="68" t="s">
        <v>137</v>
      </c>
      <c r="G34" s="34"/>
      <c r="H34" s="34"/>
      <c r="I34" s="68" t="s">
        <v>137</v>
      </c>
      <c r="J34" s="34"/>
      <c r="K34" s="34"/>
      <c r="L34" s="34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ht="22.5" customHeight="1">
      <c r="A35" s="80" t="s">
        <v>138</v>
      </c>
      <c r="B35" s="76" t="s">
        <v>139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ht="18.0" customHeight="1">
      <c r="A36" s="85" t="s">
        <v>140</v>
      </c>
      <c r="B36" s="67" t="s">
        <v>139</v>
      </c>
      <c r="C36" s="67" t="s">
        <v>83</v>
      </c>
      <c r="D36" s="68" t="s">
        <v>120</v>
      </c>
      <c r="E36" s="68" t="s">
        <v>101</v>
      </c>
      <c r="F36" s="68" t="s">
        <v>101</v>
      </c>
      <c r="G36" s="67" t="s">
        <v>64</v>
      </c>
      <c r="H36" s="69">
        <v>46127.0</v>
      </c>
      <c r="I36" s="68" t="s">
        <v>101</v>
      </c>
      <c r="J36" s="67" t="s">
        <v>64</v>
      </c>
      <c r="K36" s="69">
        <v>46130.0</v>
      </c>
      <c r="L36" s="70"/>
      <c r="M36" s="21"/>
      <c r="N36" s="86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ht="18.0" customHeight="1">
      <c r="A37" s="87"/>
      <c r="B37" s="33"/>
      <c r="C37" s="33"/>
      <c r="D37" s="68" t="s">
        <v>141</v>
      </c>
      <c r="E37" s="68" t="s">
        <v>142</v>
      </c>
      <c r="F37" s="68" t="s">
        <v>142</v>
      </c>
      <c r="G37" s="33"/>
      <c r="H37" s="33"/>
      <c r="I37" s="68" t="s">
        <v>142</v>
      </c>
      <c r="J37" s="33"/>
      <c r="K37" s="33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ht="18.0" customHeight="1">
      <c r="A38" s="87"/>
      <c r="B38" s="33"/>
      <c r="C38" s="33"/>
      <c r="D38" s="68" t="s">
        <v>115</v>
      </c>
      <c r="E38" s="68" t="s">
        <v>104</v>
      </c>
      <c r="F38" s="68" t="s">
        <v>104</v>
      </c>
      <c r="G38" s="33"/>
      <c r="H38" s="33"/>
      <c r="I38" s="68" t="s">
        <v>104</v>
      </c>
      <c r="J38" s="33"/>
      <c r="K38" s="33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ht="47.25" customHeight="1">
      <c r="A39" s="87"/>
      <c r="B39" s="34"/>
      <c r="C39" s="34"/>
      <c r="D39" s="68" t="s">
        <v>143</v>
      </c>
      <c r="E39" s="68" t="s">
        <v>132</v>
      </c>
      <c r="F39" s="68" t="s">
        <v>132</v>
      </c>
      <c r="G39" s="34"/>
      <c r="H39" s="34"/>
      <c r="I39" s="68" t="s">
        <v>132</v>
      </c>
      <c r="J39" s="34"/>
      <c r="K39" s="34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ht="22.5" customHeight="1">
      <c r="A40" s="76" t="s">
        <v>144</v>
      </c>
      <c r="B40" s="76" t="s">
        <v>145</v>
      </c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ht="18.75" customHeight="1">
      <c r="A41" s="70"/>
      <c r="B41" s="67" t="s">
        <v>145</v>
      </c>
      <c r="C41" s="67" t="s">
        <v>146</v>
      </c>
      <c r="D41" s="68" t="s">
        <v>120</v>
      </c>
      <c r="E41" s="68" t="s">
        <v>101</v>
      </c>
      <c r="F41" s="68" t="s">
        <v>101</v>
      </c>
      <c r="G41" s="67" t="s">
        <v>64</v>
      </c>
      <c r="H41" s="69">
        <v>46127.0</v>
      </c>
      <c r="I41" s="68" t="s">
        <v>101</v>
      </c>
      <c r="J41" s="67" t="s">
        <v>64</v>
      </c>
      <c r="K41" s="69">
        <v>46130.0</v>
      </c>
      <c r="L41" s="84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ht="39.0" customHeight="1">
      <c r="A42" s="88" t="s">
        <v>147</v>
      </c>
      <c r="B42" s="89"/>
      <c r="C42" s="89"/>
      <c r="D42" s="48" t="s">
        <v>148</v>
      </c>
      <c r="E42" s="48" t="s">
        <v>137</v>
      </c>
      <c r="F42" s="48" t="s">
        <v>137</v>
      </c>
      <c r="G42" s="89"/>
      <c r="H42" s="89"/>
      <c r="I42" s="48" t="s">
        <v>137</v>
      </c>
      <c r="J42" s="89"/>
      <c r="K42" s="89"/>
      <c r="L42" s="89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ht="22.5" customHeight="1">
      <c r="A43" s="76" t="s">
        <v>149</v>
      </c>
      <c r="B43" s="76" t="s">
        <v>150</v>
      </c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ht="39.0" customHeight="1">
      <c r="A44" s="70"/>
      <c r="B44" s="67" t="s">
        <v>150</v>
      </c>
      <c r="C44" s="67" t="s">
        <v>146</v>
      </c>
      <c r="D44" s="68" t="s">
        <v>120</v>
      </c>
      <c r="E44" s="68" t="s">
        <v>101</v>
      </c>
      <c r="F44" s="68" t="s">
        <v>101</v>
      </c>
      <c r="G44" s="67" t="s">
        <v>64</v>
      </c>
      <c r="H44" s="69">
        <v>46127.0</v>
      </c>
      <c r="I44" s="68" t="s">
        <v>101</v>
      </c>
      <c r="J44" s="67" t="s">
        <v>64</v>
      </c>
      <c r="K44" s="69">
        <v>46130.0</v>
      </c>
      <c r="L44" s="84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ht="39.0" customHeight="1">
      <c r="A45" s="88" t="s">
        <v>151</v>
      </c>
      <c r="B45" s="89"/>
      <c r="C45" s="89"/>
      <c r="D45" s="48" t="s">
        <v>59</v>
      </c>
      <c r="E45" s="48" t="s">
        <v>152</v>
      </c>
      <c r="F45" s="48" t="s">
        <v>152</v>
      </c>
      <c r="G45" s="89"/>
      <c r="H45" s="89"/>
      <c r="I45" s="48" t="s">
        <v>152</v>
      </c>
      <c r="J45" s="89"/>
      <c r="K45" s="89"/>
      <c r="L45" s="89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ht="22.5" customHeight="1">
      <c r="A46" s="78" t="s">
        <v>153</v>
      </c>
      <c r="B46" s="76" t="s">
        <v>154</v>
      </c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ht="19.5" customHeight="1">
      <c r="A47" s="79"/>
      <c r="B47" s="90" t="s">
        <v>154</v>
      </c>
      <c r="C47" s="67" t="s">
        <v>83</v>
      </c>
      <c r="D47" s="68" t="s">
        <v>100</v>
      </c>
      <c r="E47" s="68" t="s">
        <v>101</v>
      </c>
      <c r="F47" s="68" t="s">
        <v>101</v>
      </c>
      <c r="G47" s="67" t="s">
        <v>65</v>
      </c>
      <c r="H47" s="69">
        <v>46127.0</v>
      </c>
      <c r="I47" s="68" t="s">
        <v>101</v>
      </c>
      <c r="J47" s="67" t="s">
        <v>65</v>
      </c>
      <c r="K47" s="69">
        <v>46130.0</v>
      </c>
      <c r="L47" s="70" t="s">
        <v>86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ht="39.75" customHeight="1">
      <c r="A48" s="79" t="s">
        <v>155</v>
      </c>
      <c r="B48" s="91"/>
      <c r="C48" s="33"/>
      <c r="D48" s="68" t="s">
        <v>156</v>
      </c>
      <c r="E48" s="68" t="s">
        <v>157</v>
      </c>
      <c r="F48" s="68" t="s">
        <v>157</v>
      </c>
      <c r="G48" s="33"/>
      <c r="H48" s="33"/>
      <c r="I48" s="68" t="s">
        <v>157</v>
      </c>
      <c r="J48" s="33"/>
      <c r="K48" s="3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ht="25.5" customHeight="1">
      <c r="A49" s="79"/>
      <c r="B49" s="91"/>
      <c r="C49" s="33"/>
      <c r="D49" s="68" t="s">
        <v>115</v>
      </c>
      <c r="E49" s="68" t="s">
        <v>104</v>
      </c>
      <c r="F49" s="68" t="s">
        <v>104</v>
      </c>
      <c r="G49" s="33"/>
      <c r="H49" s="33"/>
      <c r="I49" s="68" t="s">
        <v>104</v>
      </c>
      <c r="J49" s="33"/>
      <c r="K49" s="3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ht="60.75" customHeight="1">
      <c r="A50" s="79"/>
      <c r="B50" s="92"/>
      <c r="C50" s="34"/>
      <c r="D50" s="68" t="s">
        <v>116</v>
      </c>
      <c r="E50" s="68" t="s">
        <v>158</v>
      </c>
      <c r="F50" s="68" t="s">
        <v>117</v>
      </c>
      <c r="G50" s="34"/>
      <c r="H50" s="34"/>
      <c r="I50" s="68" t="s">
        <v>117</v>
      </c>
      <c r="J50" s="34"/>
      <c r="K50" s="34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22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ht="22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ht="22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ht="22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ht="22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ht="22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ht="22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ht="22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ht="22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ht="22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ht="22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ht="22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ht="22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ht="22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ht="22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ht="22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ht="22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ht="22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ht="22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ht="22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ht="22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ht="22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ht="22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ht="22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ht="22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ht="22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ht="22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ht="22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ht="22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ht="22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ht="22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ht="22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ht="22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ht="22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ht="22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ht="22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ht="22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ht="22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ht="22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ht="22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ht="22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ht="22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ht="22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ht="22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ht="22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ht="22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ht="22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ht="22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ht="22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ht="22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ht="22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ht="22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ht="22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ht="22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ht="22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ht="22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ht="22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ht="22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ht="22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ht="22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ht="22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ht="22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ht="22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ht="22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ht="22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ht="22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ht="22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ht="22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ht="22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ht="22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ht="22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ht="22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ht="22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ht="22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ht="22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ht="22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ht="22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ht="22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ht="22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ht="22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ht="22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ht="22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ht="22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ht="22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ht="22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ht="22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ht="22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ht="22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ht="22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ht="22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ht="22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ht="22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ht="22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ht="22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ht="22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ht="22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ht="22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ht="22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ht="22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ht="22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ht="22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ht="22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ht="22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ht="22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ht="22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ht="22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ht="22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ht="22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ht="22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ht="22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ht="22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ht="22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ht="22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ht="22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ht="22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ht="22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ht="22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ht="22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ht="22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ht="22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ht="22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ht="22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ht="22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ht="22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ht="22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ht="22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ht="22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ht="22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ht="22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ht="22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ht="22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ht="22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ht="22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ht="22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ht="22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ht="22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ht="22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ht="22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ht="22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ht="22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ht="22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ht="22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ht="22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ht="22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ht="22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ht="22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ht="22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ht="22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ht="22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ht="22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ht="22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ht="22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ht="22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ht="22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ht="22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ht="22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ht="22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ht="22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ht="22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ht="22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ht="22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ht="22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ht="22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ht="22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ht="22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ht="22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ht="22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ht="22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ht="22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ht="22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ht="22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ht="22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ht="22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ht="22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ht="22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ht="22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ht="22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ht="22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ht="22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ht="22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ht="22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ht="22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ht="22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ht="22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ht="22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ht="22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ht="22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ht="22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ht="22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ht="22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ht="22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ht="22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ht="22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ht="22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ht="22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ht="22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ht="22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ht="22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ht="22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ht="22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ht="22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ht="22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ht="22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ht="22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ht="22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ht="22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ht="22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ht="22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ht="22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ht="22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ht="22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ht="22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ht="22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ht="22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ht="22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ht="22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ht="22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ht="22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ht="22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ht="22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ht="22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ht="22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ht="22.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ht="22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ht="22.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ht="22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ht="22.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ht="22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ht="22.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ht="22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ht="22.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ht="22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ht="22.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ht="22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ht="22.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ht="22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ht="22.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ht="22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ht="22.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ht="22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ht="22.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ht="22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ht="22.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ht="22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ht="22.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ht="22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ht="22.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ht="22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ht="22.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ht="22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ht="22.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ht="22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ht="22.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ht="22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ht="22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ht="22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ht="22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ht="22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ht="22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ht="22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ht="22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ht="22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ht="22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ht="22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ht="22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ht="22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ht="22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ht="22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ht="22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ht="22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ht="22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ht="22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ht="22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ht="22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ht="22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ht="22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ht="22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ht="22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ht="22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ht="22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ht="22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ht="22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ht="22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ht="22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ht="22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ht="22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ht="22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ht="22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ht="22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ht="22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ht="22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ht="22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ht="22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ht="22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ht="22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ht="22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ht="22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ht="22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ht="22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ht="22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ht="22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ht="22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ht="22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ht="22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ht="22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ht="22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ht="22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ht="22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ht="22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ht="22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ht="22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ht="22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ht="22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ht="22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ht="22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ht="22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ht="22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ht="22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ht="22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ht="22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ht="22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ht="22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ht="22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ht="22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ht="22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ht="22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ht="22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ht="22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ht="22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ht="22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ht="22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ht="22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ht="22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ht="22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ht="22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ht="22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ht="22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ht="22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ht="22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ht="22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ht="22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ht="22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ht="22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ht="22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ht="22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ht="22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ht="22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ht="22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ht="22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ht="22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ht="22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ht="22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ht="22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ht="22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ht="22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ht="22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ht="22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ht="22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ht="22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ht="22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ht="22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ht="22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ht="22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ht="22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ht="22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ht="22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ht="22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ht="22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ht="22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ht="22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ht="22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ht="22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ht="22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ht="22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ht="22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ht="22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ht="22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ht="22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ht="22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ht="22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ht="22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ht="22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ht="22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ht="22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ht="22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ht="22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ht="22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ht="22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ht="22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ht="22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ht="22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ht="22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ht="22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ht="22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ht="22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ht="22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ht="22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ht="22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ht="22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ht="22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ht="22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ht="22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ht="22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ht="22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ht="22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ht="22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ht="22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ht="22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ht="22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ht="22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ht="22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ht="22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ht="22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ht="22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ht="22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ht="22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ht="22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ht="22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ht="22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ht="22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ht="22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ht="22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ht="22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ht="22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ht="22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ht="22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ht="22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ht="22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ht="22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ht="22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ht="22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ht="22.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ht="22.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ht="22.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ht="22.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ht="22.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ht="22.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ht="22.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ht="22.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ht="22.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ht="22.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ht="22.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ht="22.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ht="22.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ht="22.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ht="22.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ht="22.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ht="22.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ht="22.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ht="22.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ht="22.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ht="22.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ht="22.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ht="22.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ht="22.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ht="22.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ht="22.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ht="22.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ht="22.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ht="22.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ht="22.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ht="22.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ht="22.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ht="22.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ht="22.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ht="22.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ht="22.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ht="22.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ht="22.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ht="22.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ht="22.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ht="22.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ht="22.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ht="22.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ht="22.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ht="22.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ht="22.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ht="22.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ht="22.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ht="22.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ht="22.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ht="22.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ht="22.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ht="22.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ht="22.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ht="22.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ht="22.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ht="22.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ht="22.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ht="22.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ht="22.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ht="22.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ht="22.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ht="22.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ht="22.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ht="22.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ht="22.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ht="22.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ht="22.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ht="22.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ht="22.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ht="22.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ht="22.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ht="22.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ht="22.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ht="22.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ht="22.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ht="22.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ht="22.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ht="22.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ht="22.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ht="22.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ht="22.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ht="22.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ht="22.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ht="22.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ht="22.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ht="22.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ht="22.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ht="22.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ht="22.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ht="22.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ht="22.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ht="22.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ht="22.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ht="22.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ht="22.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ht="22.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ht="22.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ht="22.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ht="22.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ht="22.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ht="22.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ht="22.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ht="22.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ht="22.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ht="22.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ht="22.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ht="22.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ht="22.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ht="22.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ht="22.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ht="22.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ht="22.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ht="22.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ht="22.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ht="22.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ht="22.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ht="22.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ht="22.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ht="22.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ht="22.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ht="22.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ht="22.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ht="22.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ht="22.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ht="22.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ht="22.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ht="22.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ht="22.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ht="22.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ht="22.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ht="22.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ht="22.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ht="22.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ht="22.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ht="22.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ht="22.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ht="22.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ht="22.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ht="22.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ht="22.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ht="22.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ht="22.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ht="22.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ht="22.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ht="22.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ht="22.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ht="22.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ht="22.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ht="22.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ht="22.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ht="22.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ht="22.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ht="22.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ht="22.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ht="22.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ht="22.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ht="22.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ht="22.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ht="22.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ht="22.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ht="22.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ht="22.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ht="22.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ht="22.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ht="22.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ht="22.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ht="22.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ht="22.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ht="22.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ht="22.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ht="22.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ht="22.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ht="22.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ht="22.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ht="22.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ht="22.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ht="22.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ht="22.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ht="22.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ht="22.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ht="22.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ht="22.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ht="22.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ht="22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ht="22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ht="22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ht="22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ht="22.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ht="22.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ht="22.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ht="22.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ht="22.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ht="22.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ht="22.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ht="22.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ht="22.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ht="22.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ht="22.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ht="22.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ht="22.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ht="22.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ht="22.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ht="22.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ht="22.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ht="22.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ht="22.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ht="22.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ht="22.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ht="22.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ht="22.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ht="22.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ht="22.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ht="22.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ht="22.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ht="22.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ht="22.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ht="22.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ht="22.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ht="22.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ht="22.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ht="22.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ht="22.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ht="22.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ht="22.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ht="22.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ht="22.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ht="22.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ht="22.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ht="22.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ht="22.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ht="22.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ht="22.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ht="22.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ht="22.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ht="22.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ht="22.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ht="22.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ht="22.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ht="22.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ht="22.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ht="22.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ht="22.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ht="22.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ht="22.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ht="22.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ht="22.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ht="22.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ht="22.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ht="22.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ht="22.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ht="22.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ht="22.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ht="22.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ht="22.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ht="22.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ht="22.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ht="22.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ht="22.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ht="22.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ht="22.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ht="22.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ht="22.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ht="22.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ht="22.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ht="22.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ht="22.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ht="22.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ht="22.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ht="22.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ht="22.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ht="22.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ht="22.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ht="22.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ht="22.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ht="22.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ht="22.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ht="22.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ht="22.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ht="22.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ht="22.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ht="22.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ht="22.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ht="22.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ht="22.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ht="22.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ht="22.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ht="22.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ht="22.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ht="22.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ht="22.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ht="22.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ht="22.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ht="22.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ht="22.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ht="22.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ht="22.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ht="22.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ht="22.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ht="22.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ht="22.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ht="22.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ht="22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ht="22.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ht="22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ht="22.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ht="22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ht="22.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ht="22.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ht="22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ht="22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ht="22.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ht="22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ht="22.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ht="22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ht="22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ht="22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ht="22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ht="22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ht="22.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ht="22.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ht="22.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ht="22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ht="22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ht="22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ht="22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ht="22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ht="22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ht="22.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ht="22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ht="22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ht="22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ht="22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ht="22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ht="22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ht="22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ht="22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ht="22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ht="22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ht="22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ht="22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ht="22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ht="22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ht="22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ht="22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ht="22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ht="22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ht="22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ht="22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ht="22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ht="22.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ht="22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ht="22.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ht="22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ht="22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ht="22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ht="22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ht="22.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ht="22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ht="22.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ht="22.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ht="22.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ht="22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ht="22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ht="22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ht="22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ht="22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ht="22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ht="22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ht="22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ht="22.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ht="22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ht="22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ht="22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ht="22.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ht="22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ht="22.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ht="22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ht="22.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ht="22.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ht="22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ht="22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ht="22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ht="22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ht="22.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ht="22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ht="22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ht="22.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ht="22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ht="22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ht="22.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ht="22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ht="22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ht="22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ht="22.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ht="22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ht="22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ht="22.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ht="22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ht="22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ht="22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ht="22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ht="22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ht="22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ht="22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ht="22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ht="22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ht="22.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ht="22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ht="22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ht="22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ht="22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ht="22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ht="22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ht="22.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ht="22.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ht="22.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ht="22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ht="22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ht="22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ht="22.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ht="22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ht="22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ht="22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ht="22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ht="22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ht="22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ht="22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ht="22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ht="22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ht="22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ht="22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ht="22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ht="22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ht="22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ht="22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ht="22.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ht="22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ht="22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ht="22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ht="22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ht="22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ht="22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ht="22.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ht="22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ht="22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ht="22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ht="22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ht="22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ht="22.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ht="22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ht="22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ht="22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ht="22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ht="22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ht="22.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ht="22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ht="22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ht="22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ht="22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ht="22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ht="22.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ht="22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ht="22.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ht="22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ht="22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ht="22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ht="22.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ht="22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ht="22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ht="22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ht="22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ht="22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ht="22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ht="22.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ht="22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ht="22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ht="22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ht="22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ht="22.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ht="22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ht="22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ht="22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ht="22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ht="22.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ht="22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ht="22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ht="22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ht="22.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ht="22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ht="22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ht="22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ht="22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ht="22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ht="22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ht="22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ht="22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ht="22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ht="22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ht="22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ht="22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ht="22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ht="22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ht="22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ht="22.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ht="22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ht="22.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ht="22.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 ht="22.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 ht="22.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 ht="22.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 ht="22.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 ht="22.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 ht="22.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 ht="22.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 ht="22.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 ht="22.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 ht="22.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 ht="22.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  <row r="1001" ht="22.5" customHeight="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  <row r="1002" ht="22.5" customHeight="1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 ht="22.5" customHeight="1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</row>
    <row r="1004" ht="22.5" customHeight="1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 ht="22.5" customHeight="1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</row>
    <row r="1006" ht="22.5" customHeight="1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 ht="22.5" customHeight="1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</row>
    <row r="1008" ht="22.5" customHeight="1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 ht="22.5" customHeight="1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</row>
    <row r="1010" ht="22.5" customHeight="1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 ht="22.5" customHeight="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</row>
    <row r="1012" ht="22.5" customHeight="1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 ht="22.5" customHeight="1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 ht="22.5" customHeight="1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</row>
    <row r="1015" ht="22.5" customHeight="1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 ht="22.5" customHeight="1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 ht="22.5" customHeight="1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</row>
    <row r="1018" ht="22.5" customHeight="1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</sheetData>
  <mergeCells count="73">
    <mergeCell ref="G41:G42"/>
    <mergeCell ref="H41:H42"/>
    <mergeCell ref="G19:G22"/>
    <mergeCell ref="G24:G26"/>
    <mergeCell ref="H24:H26"/>
    <mergeCell ref="G28:G31"/>
    <mergeCell ref="H28:H31"/>
    <mergeCell ref="G33:G34"/>
    <mergeCell ref="H33:H34"/>
    <mergeCell ref="G36:G39"/>
    <mergeCell ref="G44:G45"/>
    <mergeCell ref="H44:H45"/>
    <mergeCell ref="J44:J45"/>
    <mergeCell ref="K44:K45"/>
    <mergeCell ref="L44:L45"/>
    <mergeCell ref="H36:H39"/>
    <mergeCell ref="J36:J39"/>
    <mergeCell ref="K36:K39"/>
    <mergeCell ref="L36:L39"/>
    <mergeCell ref="J41:J42"/>
    <mergeCell ref="K41:K42"/>
    <mergeCell ref="L41:L42"/>
    <mergeCell ref="B36:B39"/>
    <mergeCell ref="C36:C39"/>
    <mergeCell ref="A28:A31"/>
    <mergeCell ref="B28:B31"/>
    <mergeCell ref="C28:C31"/>
    <mergeCell ref="B33:B34"/>
    <mergeCell ref="A36:A39"/>
    <mergeCell ref="C41:C42"/>
    <mergeCell ref="C33:C34"/>
    <mergeCell ref="B1:B2"/>
    <mergeCell ref="C9:C13"/>
    <mergeCell ref="G9:G13"/>
    <mergeCell ref="H9:H13"/>
    <mergeCell ref="J9:J13"/>
    <mergeCell ref="K9:K13"/>
    <mergeCell ref="L9:L13"/>
    <mergeCell ref="G15:G17"/>
    <mergeCell ref="H15:H17"/>
    <mergeCell ref="J15:J17"/>
    <mergeCell ref="K15:K17"/>
    <mergeCell ref="L15:L17"/>
    <mergeCell ref="H19:H22"/>
    <mergeCell ref="L19:L22"/>
    <mergeCell ref="B4:B5"/>
    <mergeCell ref="B15:B17"/>
    <mergeCell ref="C15:C17"/>
    <mergeCell ref="B19:B22"/>
    <mergeCell ref="C19:C22"/>
    <mergeCell ref="B24:B26"/>
    <mergeCell ref="C24:C26"/>
    <mergeCell ref="J28:J31"/>
    <mergeCell ref="J33:J34"/>
    <mergeCell ref="K33:K34"/>
    <mergeCell ref="L33:L34"/>
    <mergeCell ref="J19:J22"/>
    <mergeCell ref="K19:K22"/>
    <mergeCell ref="J24:J26"/>
    <mergeCell ref="K24:K26"/>
    <mergeCell ref="L24:L26"/>
    <mergeCell ref="K28:K31"/>
    <mergeCell ref="L28:L31"/>
    <mergeCell ref="J47:J50"/>
    <mergeCell ref="K47:K50"/>
    <mergeCell ref="L47:L50"/>
    <mergeCell ref="B41:B42"/>
    <mergeCell ref="B44:B45"/>
    <mergeCell ref="C44:C45"/>
    <mergeCell ref="B47:B50"/>
    <mergeCell ref="C47:C50"/>
    <mergeCell ref="G47:G50"/>
    <mergeCell ref="H47:H50"/>
  </mergeCells>
  <dataValidations>
    <dataValidation type="list" allowBlank="1" sqref="G9 J9 G15 J15 G19 J19 G24 J24 G28 J28 G33 J33 G36 J36 G41 J41 G44 J44 G47 J47">
      <formula1>"Pass,Fail,Untested"</formula1>
    </dataValidation>
    <dataValidation type="list" allowBlank="1" showInputMessage="1" showErrorMessage="1" prompt=" - " sqref="L4:L5">
      <formula1>"Fatal,Major,Minor,Cosmetic"</formula1>
    </dataValidation>
    <dataValidation type="list" allowBlank="1" showInputMessage="1" showErrorMessage="1" prompt=" - " sqref="L9 L15 L19 L24 L28 L33 L36 L41 L44 L47">
      <formula1>"Critical,Major,Minor,Cosmetic"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17.75"/>
    <col customWidth="1" min="3" max="3" width="28.13"/>
    <col customWidth="1" min="4" max="4" width="30.5"/>
    <col customWidth="1" min="5" max="5" width="17.13"/>
    <col customWidth="1" min="6" max="6" width="16.5"/>
    <col customWidth="1" min="7" max="7" width="20.75"/>
    <col customWidth="1" min="8" max="8" width="11.5"/>
    <col customWidth="1" min="9" max="26" width="8.0"/>
  </cols>
  <sheetData>
    <row r="1" ht="15.0" customHeight="1">
      <c r="A1" s="93" t="s">
        <v>17</v>
      </c>
      <c r="B1" s="94"/>
      <c r="C1" s="94"/>
      <c r="D1" s="94"/>
      <c r="E1" s="94"/>
      <c r="F1" s="94"/>
      <c r="G1" s="95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36.75" customHeight="1">
      <c r="A2" s="97" t="s">
        <v>159</v>
      </c>
      <c r="B2" s="20"/>
      <c r="C2" s="20"/>
      <c r="D2" s="20"/>
      <c r="E2" s="20"/>
      <c r="F2" s="20"/>
      <c r="G2" s="8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98"/>
      <c r="B3" s="99"/>
      <c r="C3" s="99"/>
      <c r="D3" s="99"/>
      <c r="E3" s="98"/>
      <c r="F3" s="99"/>
      <c r="G3" s="98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25.5" customHeight="1">
      <c r="A4" s="100" t="s">
        <v>19</v>
      </c>
      <c r="B4" s="101" t="s">
        <v>20</v>
      </c>
      <c r="C4" s="8"/>
      <c r="D4" s="100" t="s">
        <v>21</v>
      </c>
      <c r="E4" s="102" t="s">
        <v>160</v>
      </c>
      <c r="F4" s="100" t="s">
        <v>23</v>
      </c>
      <c r="G4" s="100" t="s">
        <v>24</v>
      </c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2.75" customHeight="1">
      <c r="A5" s="103" t="s">
        <v>161</v>
      </c>
      <c r="B5" s="20"/>
      <c r="C5" s="20"/>
      <c r="D5" s="20"/>
      <c r="E5" s="20"/>
      <c r="F5" s="20"/>
      <c r="G5" s="8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2.75" customHeight="1">
      <c r="A6" s="104" t="s">
        <v>162</v>
      </c>
      <c r="B6" s="20"/>
      <c r="C6" s="20"/>
      <c r="D6" s="20"/>
      <c r="E6" s="20"/>
      <c r="F6" s="20"/>
      <c r="G6" s="8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2.75" customHeight="1">
      <c r="A7" s="104" t="s">
        <v>27</v>
      </c>
      <c r="B7" s="20"/>
      <c r="C7" s="20"/>
      <c r="D7" s="20"/>
      <c r="E7" s="20"/>
      <c r="F7" s="20"/>
      <c r="G7" s="8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3.5" customHeight="1">
      <c r="A8" s="105"/>
      <c r="B8" s="20"/>
      <c r="C8" s="20"/>
      <c r="D8" s="20"/>
      <c r="E8" s="20"/>
      <c r="F8" s="20"/>
      <c r="G8" s="8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2.75" customHeight="1">
      <c r="A9" s="106">
        <v>1.0</v>
      </c>
      <c r="B9" s="107" t="s">
        <v>163</v>
      </c>
      <c r="C9" s="8"/>
      <c r="D9" s="108" t="s">
        <v>164</v>
      </c>
      <c r="E9" s="109"/>
      <c r="F9" s="110"/>
      <c r="G9" s="111" t="s">
        <v>30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2.75" customHeight="1">
      <c r="A10" s="103" t="s">
        <v>165</v>
      </c>
      <c r="B10" s="20"/>
      <c r="C10" s="20"/>
      <c r="D10" s="20"/>
      <c r="E10" s="20"/>
      <c r="F10" s="20"/>
      <c r="G10" s="8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2.75" customHeight="1">
      <c r="A11" s="104" t="s">
        <v>162</v>
      </c>
      <c r="B11" s="20"/>
      <c r="C11" s="20"/>
      <c r="D11" s="20"/>
      <c r="E11" s="20"/>
      <c r="F11" s="20"/>
      <c r="G11" s="8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2.75" customHeight="1">
      <c r="A12" s="104" t="s">
        <v>27</v>
      </c>
      <c r="B12" s="20"/>
      <c r="C12" s="20"/>
      <c r="D12" s="20"/>
      <c r="E12" s="20"/>
      <c r="F12" s="20"/>
      <c r="G12" s="8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3.5" customHeight="1">
      <c r="A13" s="105"/>
      <c r="B13" s="20"/>
      <c r="C13" s="20"/>
      <c r="D13" s="20"/>
      <c r="E13" s="20"/>
      <c r="F13" s="20"/>
      <c r="G13" s="8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2.75" customHeight="1">
      <c r="A14" s="106">
        <v>1.0</v>
      </c>
      <c r="B14" s="107" t="s">
        <v>163</v>
      </c>
      <c r="C14" s="8"/>
      <c r="D14" s="108" t="s">
        <v>166</v>
      </c>
      <c r="E14" s="109"/>
      <c r="F14" s="110"/>
      <c r="G14" s="111" t="s">
        <v>30</v>
      </c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2.0" customHeight="1">
      <c r="A15" s="103" t="s">
        <v>167</v>
      </c>
      <c r="B15" s="20"/>
      <c r="C15" s="20"/>
      <c r="D15" s="20"/>
      <c r="E15" s="20"/>
      <c r="F15" s="20"/>
      <c r="G15" s="8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2.75" customHeight="1">
      <c r="A16" s="104" t="s">
        <v>162</v>
      </c>
      <c r="B16" s="20"/>
      <c r="C16" s="20"/>
      <c r="D16" s="20"/>
      <c r="E16" s="20"/>
      <c r="F16" s="20"/>
      <c r="G16" s="8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2.75" customHeight="1">
      <c r="A17" s="104" t="s">
        <v>27</v>
      </c>
      <c r="B17" s="20"/>
      <c r="C17" s="20"/>
      <c r="D17" s="20"/>
      <c r="E17" s="20"/>
      <c r="F17" s="20"/>
      <c r="G17" s="8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3.5" customHeight="1">
      <c r="A18" s="105"/>
      <c r="B18" s="20"/>
      <c r="C18" s="20"/>
      <c r="D18" s="20"/>
      <c r="E18" s="20"/>
      <c r="F18" s="20"/>
      <c r="G18" s="8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2.75" customHeight="1">
      <c r="A19" s="106">
        <v>1.0</v>
      </c>
      <c r="B19" s="112" t="s">
        <v>163</v>
      </c>
      <c r="C19" s="8"/>
      <c r="D19" s="108"/>
      <c r="E19" s="109"/>
      <c r="F19" s="110"/>
      <c r="G19" s="113" t="s">
        <v>30</v>
      </c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2.75" customHeight="1">
      <c r="A20" s="106">
        <v>2.0</v>
      </c>
      <c r="B20" s="112" t="s">
        <v>168</v>
      </c>
      <c r="C20" s="8"/>
      <c r="D20" s="108" t="s">
        <v>169</v>
      </c>
      <c r="E20" s="109"/>
      <c r="F20" s="110"/>
      <c r="G20" s="34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2.0" customHeight="1">
      <c r="A21" s="103" t="s">
        <v>170</v>
      </c>
      <c r="B21" s="20"/>
      <c r="C21" s="20"/>
      <c r="D21" s="20"/>
      <c r="E21" s="20"/>
      <c r="F21" s="20"/>
      <c r="G21" s="8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2.75" customHeight="1">
      <c r="A22" s="104" t="s">
        <v>162</v>
      </c>
      <c r="B22" s="20"/>
      <c r="C22" s="20"/>
      <c r="D22" s="20"/>
      <c r="E22" s="20"/>
      <c r="F22" s="20"/>
      <c r="G22" s="8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2.75" customHeight="1">
      <c r="A23" s="104" t="s">
        <v>27</v>
      </c>
      <c r="B23" s="20"/>
      <c r="C23" s="20"/>
      <c r="D23" s="20"/>
      <c r="E23" s="20"/>
      <c r="F23" s="20"/>
      <c r="G23" s="8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3.5" customHeight="1">
      <c r="A24" s="105"/>
      <c r="B24" s="20"/>
      <c r="C24" s="20"/>
      <c r="D24" s="20"/>
      <c r="E24" s="20"/>
      <c r="F24" s="20"/>
      <c r="G24" s="8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2.75" customHeight="1">
      <c r="A25" s="106">
        <v>1.0</v>
      </c>
      <c r="B25" s="112" t="s">
        <v>163</v>
      </c>
      <c r="C25" s="8"/>
      <c r="D25" s="108"/>
      <c r="E25" s="109"/>
      <c r="F25" s="110"/>
      <c r="G25" s="113" t="s">
        <v>30</v>
      </c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2.75" customHeight="1">
      <c r="A26" s="106">
        <v>2.0</v>
      </c>
      <c r="B26" s="112" t="s">
        <v>56</v>
      </c>
      <c r="C26" s="8"/>
      <c r="D26" s="108" t="s">
        <v>169</v>
      </c>
      <c r="E26" s="109"/>
      <c r="F26" s="110"/>
      <c r="G26" s="34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2.75" customHeight="1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2.75" customHeight="1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2.75" customHeight="1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2.75" customHeight="1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2.75" customHeight="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2.75" customHeigh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2.7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2.75" customHeigh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2.75" customHeight="1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2.75" customHeigh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2.75" customHeigh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2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2.7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2.7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2.7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2.7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2.7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2.7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2.7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2.7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2.7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2.7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2.7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2.7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2.7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2.7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2.7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2.7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2.7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2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2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2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2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2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2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2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2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2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2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2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2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2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2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2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2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2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2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2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2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2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2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2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2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2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2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2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2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2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2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2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2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2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2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2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2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2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2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2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2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2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2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2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2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2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2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2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2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2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2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2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2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2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2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2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2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2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2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2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2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2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2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2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2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2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2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2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2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2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2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2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2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2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2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2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2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2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2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2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2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2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2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2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2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2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2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2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2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2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2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2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2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2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2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2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2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2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2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2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2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2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2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2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2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2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2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2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2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2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2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2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2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2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2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2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2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2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2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2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2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2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2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2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2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2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2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2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2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2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2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2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2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2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2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2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2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2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2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2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2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2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2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2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2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2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2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2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2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2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2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2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2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2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2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2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2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2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2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2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2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2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2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2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2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2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2.7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2.7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2.7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2.7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2.7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2.7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2.7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2.7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2.7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2.7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2.7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2.7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2.7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2.7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2.7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2.7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2.7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2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2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2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2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2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2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2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2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2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2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2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2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2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2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2.7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2.7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2.7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2.7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2.7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2.7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2.7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2.7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2.7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2.7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2.7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2.7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2.7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2.7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2.7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2.7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2.7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2.7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2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2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2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2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2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2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2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2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2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2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2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2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2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2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2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2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2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2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2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2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2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2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2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2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2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2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2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2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2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2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2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2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2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2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2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2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2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2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2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2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2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2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2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2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2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2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2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2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2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2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2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2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2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2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2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2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2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2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2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2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2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2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2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2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2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2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2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2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2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2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2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2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2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2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2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2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2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2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2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2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2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2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2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2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2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2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2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2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2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2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2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2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2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2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2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2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2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2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2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2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2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2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2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2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2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2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2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2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2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2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2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2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2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2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2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2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2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2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2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2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2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2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2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2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2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2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2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2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2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2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2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2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2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2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2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2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2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2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2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2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2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2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2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2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2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2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2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2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2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2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2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2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2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2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2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2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2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2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2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2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2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2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2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2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2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2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2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2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2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2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2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2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2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2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2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2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2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2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2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2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2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2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2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2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2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2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2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2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2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2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2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2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2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2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2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2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2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2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2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2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2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2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2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2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2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2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2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2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2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2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2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2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2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2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2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2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2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2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2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2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2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2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2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2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2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2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2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2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2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2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2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2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2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2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2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2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2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2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2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2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2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2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2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2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2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2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2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2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2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2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2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2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2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2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2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2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2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2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2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2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2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2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2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2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2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2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2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2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2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2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2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2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2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2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2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2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2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2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2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2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2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2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2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2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2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2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2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2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2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2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2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2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2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2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2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2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2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2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2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2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2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2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2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2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2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2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2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2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2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2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2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2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2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2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2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2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2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2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2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2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2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2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2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2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2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2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2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2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2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2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2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2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2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2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2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2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2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2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2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2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2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2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2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2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2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2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2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2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2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2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2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2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2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2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2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2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2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2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2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2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2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2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2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2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2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2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2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2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2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2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2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2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2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2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2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2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2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2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2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2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2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2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2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2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2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2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2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2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2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2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2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2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2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2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2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2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2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2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2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2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2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2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2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2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2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2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2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2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2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2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2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2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2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2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2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2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2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2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2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2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2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2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2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2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2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2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2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2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2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2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2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2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2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2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2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2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2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2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2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2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2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2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2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2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2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2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2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2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2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2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2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2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2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2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2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2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2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2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2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2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2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2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2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2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2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2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2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2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2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2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2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2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2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2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2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2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2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2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2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2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2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2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2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2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2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2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2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2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2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2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2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2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2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2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2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2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2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2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2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2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2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2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2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2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2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2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2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2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2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2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2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2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2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2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2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2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2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2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2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2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2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2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2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2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2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2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2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2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2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2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2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2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2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2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2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2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2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2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2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2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2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2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2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2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2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2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2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2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2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2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2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2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2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2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2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2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2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2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2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2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2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2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2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2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2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2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2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2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2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2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2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2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2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2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2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2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2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2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2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2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2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2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2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2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2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2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2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2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2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2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2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2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2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2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2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2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2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2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2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2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2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2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2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2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2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2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2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2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2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2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2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2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2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2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2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2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2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2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2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2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2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2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2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2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2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2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2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2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2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2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2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2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2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2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2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2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2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2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2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2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2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2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2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2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2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2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2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2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2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2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2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2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2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2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2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2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2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2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2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2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2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2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2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2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2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2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2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2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2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2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2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2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2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2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2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2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2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2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2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2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2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2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2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2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2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2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2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2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2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2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2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2.7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2.7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2.7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2.7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2.7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2.7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2.7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2.7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2.7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2.7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2.7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2.7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2.7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2.7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2.7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2.7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2.7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</sheetData>
  <mergeCells count="27">
    <mergeCell ref="A1:G1"/>
    <mergeCell ref="A2:G2"/>
    <mergeCell ref="B4:C4"/>
    <mergeCell ref="A5:G5"/>
    <mergeCell ref="A6:G6"/>
    <mergeCell ref="A7:G7"/>
    <mergeCell ref="A8:G8"/>
    <mergeCell ref="B9:C9"/>
    <mergeCell ref="A10:G10"/>
    <mergeCell ref="A11:G11"/>
    <mergeCell ref="A12:G12"/>
    <mergeCell ref="A13:G13"/>
    <mergeCell ref="B14:C14"/>
    <mergeCell ref="A15:G15"/>
    <mergeCell ref="A22:G22"/>
    <mergeCell ref="A23:G23"/>
    <mergeCell ref="A24:G24"/>
    <mergeCell ref="B25:C25"/>
    <mergeCell ref="G25:G26"/>
    <mergeCell ref="B26:C26"/>
    <mergeCell ref="A16:G16"/>
    <mergeCell ref="A17:G17"/>
    <mergeCell ref="A18:G18"/>
    <mergeCell ref="B19:C19"/>
    <mergeCell ref="G19:G20"/>
    <mergeCell ref="B20:C20"/>
    <mergeCell ref="A21:G21"/>
  </mergeCells>
  <dataValidations>
    <dataValidation type="list" allowBlank="1" sqref="G9 G14 G19 G25">
      <formula1>"Developing,Tested"</formula1>
    </dataValidation>
  </dataValidations>
  <hyperlinks>
    <hyperlink display="Scenario 1:  Xem sản phẩm khi vừa tạo xong" location="'FUNC TC_XEM SẢN PHẨM'!A8:B8" ref="A5"/>
    <hyperlink display="Scenario 2:  Xem sản phẩm khi vừa cập nhật xong" location="'FUNC TC_XEM SẢN PHẨM'!A10:B10" ref="A10"/>
    <hyperlink display="Scenario 3: Bấm nút &quot;Đóng&quot; để kết thúc Xem sản phẩm" location="'FUNC TC_XEM SẢN PHẨM'!A12:B12" ref="A15"/>
    <hyperlink display="Scenario 4: Bấm nút &quot;X&quot; để kết thúc Xem sản phẩm" location="'FUNC TC_XEM SẢN PHẨM'!A15:L15" ref="A21"/>
  </hyperlink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7.5"/>
    <col customWidth="1" min="2" max="2" width="25.5"/>
    <col customWidth="1" min="3" max="3" width="23.5"/>
    <col customWidth="1" min="4" max="4" width="30.5"/>
    <col customWidth="1" min="5" max="5" width="27.13"/>
    <col customWidth="1" min="6" max="6" width="24.0"/>
    <col customWidth="1" min="7" max="7" width="15.13"/>
    <col customWidth="1" min="8" max="11" width="8.0"/>
    <col customWidth="1" min="12" max="12" width="8.88"/>
    <col customWidth="1" min="13" max="30" width="8.0"/>
  </cols>
  <sheetData>
    <row r="1" ht="22.5" customHeight="1">
      <c r="A1" s="50"/>
      <c r="B1" s="51" t="s">
        <v>63</v>
      </c>
      <c r="C1" s="52" t="s">
        <v>64</v>
      </c>
      <c r="D1" s="52" t="s">
        <v>65</v>
      </c>
      <c r="E1" s="52" t="s">
        <v>66</v>
      </c>
      <c r="F1" s="52" t="s">
        <v>67</v>
      </c>
      <c r="G1" s="50"/>
      <c r="H1" s="21"/>
      <c r="I1" s="21"/>
      <c r="J1" s="21"/>
      <c r="K1" s="21"/>
      <c r="L1" s="50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ht="9.0" customHeight="1">
      <c r="A2" s="50"/>
      <c r="B2" s="53"/>
      <c r="C2" s="54">
        <f>COUNTIF(G1:G227,"Pass")</f>
        <v>4</v>
      </c>
      <c r="D2" s="54">
        <f>COUNTIF(G1:G227,"Fail")</f>
        <v>0</v>
      </c>
      <c r="E2" s="54">
        <f>COUNTIF(G1:G227,"Untested")</f>
        <v>0</v>
      </c>
      <c r="F2" s="54">
        <f>SUM(C2,D2,E2)</f>
        <v>4</v>
      </c>
      <c r="G2" s="50"/>
      <c r="H2" s="21"/>
      <c r="I2" s="21"/>
      <c r="J2" s="21"/>
      <c r="K2" s="21"/>
      <c r="L2" s="50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ht="8.25" customHeight="1">
      <c r="A3" s="50"/>
      <c r="B3" s="50"/>
      <c r="C3" s="50"/>
      <c r="D3" s="50"/>
      <c r="E3" s="50"/>
      <c r="F3" s="50"/>
      <c r="G3" s="50"/>
      <c r="H3" s="21"/>
      <c r="I3" s="21"/>
      <c r="J3" s="21"/>
      <c r="K3" s="21"/>
      <c r="L3" s="50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7.5" customHeight="1">
      <c r="A4" s="39"/>
      <c r="B4" s="114" t="s">
        <v>171</v>
      </c>
      <c r="C4" s="115" t="s">
        <v>64</v>
      </c>
      <c r="D4" s="115" t="s">
        <v>65</v>
      </c>
      <c r="E4" s="115" t="s">
        <v>66</v>
      </c>
      <c r="F4" s="115" t="s">
        <v>67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</row>
    <row r="5" ht="22.5" customHeight="1">
      <c r="A5" s="39"/>
      <c r="B5" s="58"/>
      <c r="C5" s="116">
        <f>COUNTIF(J4:J234,"Pass")</f>
        <v>4</v>
      </c>
      <c r="D5" s="116">
        <f>COUNTIF(J4:J234,"Fail")</f>
        <v>0</v>
      </c>
      <c r="E5" s="116">
        <f>COUNTIF(J4:J234,"Untested")</f>
        <v>0</v>
      </c>
      <c r="F5" s="116">
        <f>SUM(C5,D5,E5)</f>
        <v>4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</row>
    <row r="6" ht="8.25" customHeight="1">
      <c r="A6" s="50"/>
      <c r="B6" s="50"/>
      <c r="C6" s="50"/>
      <c r="D6" s="50"/>
      <c r="E6" s="50"/>
      <c r="F6" s="50"/>
      <c r="G6" s="50"/>
      <c r="H6" s="21"/>
      <c r="I6" s="21"/>
      <c r="J6" s="21"/>
      <c r="K6" s="21"/>
      <c r="L6" s="50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ht="16.5" customHeight="1">
      <c r="A7" s="60" t="s">
        <v>69</v>
      </c>
      <c r="B7" s="60" t="s">
        <v>70</v>
      </c>
      <c r="C7" s="60" t="s">
        <v>71</v>
      </c>
      <c r="D7" s="60" t="s">
        <v>72</v>
      </c>
      <c r="E7" s="60" t="s">
        <v>73</v>
      </c>
      <c r="F7" s="60" t="s">
        <v>74</v>
      </c>
      <c r="G7" s="60" t="s">
        <v>75</v>
      </c>
      <c r="H7" s="61" t="s">
        <v>76</v>
      </c>
      <c r="I7" s="61" t="s">
        <v>172</v>
      </c>
      <c r="J7" s="61" t="s">
        <v>78</v>
      </c>
      <c r="K7" s="61" t="s">
        <v>79</v>
      </c>
      <c r="L7" s="60" t="s">
        <v>80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ht="12.75" customHeight="1">
      <c r="A8" s="62" t="s">
        <v>81</v>
      </c>
      <c r="B8" s="63" t="s">
        <v>173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ht="87.0" customHeight="1">
      <c r="A9" s="85" t="s">
        <v>174</v>
      </c>
      <c r="B9" s="117" t="s">
        <v>173</v>
      </c>
      <c r="C9" s="117" t="s">
        <v>175</v>
      </c>
      <c r="D9" s="107" t="s">
        <v>176</v>
      </c>
      <c r="E9" s="118" t="s">
        <v>177</v>
      </c>
      <c r="F9" s="118" t="s">
        <v>177</v>
      </c>
      <c r="G9" s="74" t="s">
        <v>64</v>
      </c>
      <c r="H9" s="119">
        <v>46127.0</v>
      </c>
      <c r="I9" s="118" t="s">
        <v>177</v>
      </c>
      <c r="J9" s="120" t="s">
        <v>64</v>
      </c>
      <c r="K9" s="121">
        <v>46130.0</v>
      </c>
      <c r="L9" s="122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ht="22.5" customHeight="1">
      <c r="A10" s="75" t="s">
        <v>97</v>
      </c>
      <c r="B10" s="76" t="s">
        <v>178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ht="77.25" customHeight="1">
      <c r="A11" s="85" t="s">
        <v>179</v>
      </c>
      <c r="B11" s="117" t="s">
        <v>178</v>
      </c>
      <c r="C11" s="117" t="s">
        <v>180</v>
      </c>
      <c r="D11" s="107" t="s">
        <v>181</v>
      </c>
      <c r="E11" s="118" t="s">
        <v>182</v>
      </c>
      <c r="F11" s="118" t="s">
        <v>182</v>
      </c>
      <c r="G11" s="74" t="s">
        <v>64</v>
      </c>
      <c r="H11" s="119">
        <v>46127.0</v>
      </c>
      <c r="I11" s="118" t="s">
        <v>182</v>
      </c>
      <c r="J11" s="120" t="s">
        <v>64</v>
      </c>
      <c r="K11" s="121">
        <v>46130.0</v>
      </c>
      <c r="L11" s="122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ht="12.75" customHeight="1">
      <c r="A12" s="80" t="s">
        <v>109</v>
      </c>
      <c r="B12" s="63" t="s">
        <v>183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ht="37.5" customHeight="1">
      <c r="A13" s="85" t="s">
        <v>184</v>
      </c>
      <c r="B13" s="123" t="s">
        <v>183</v>
      </c>
      <c r="C13" s="123" t="s">
        <v>83</v>
      </c>
      <c r="D13" s="124" t="s">
        <v>176</v>
      </c>
      <c r="E13" s="124" t="s">
        <v>185</v>
      </c>
      <c r="F13" s="124" t="s">
        <v>185</v>
      </c>
      <c r="G13" s="123" t="s">
        <v>64</v>
      </c>
      <c r="H13" s="125">
        <v>46127.0</v>
      </c>
      <c r="I13" s="124" t="s">
        <v>185</v>
      </c>
      <c r="J13" s="123" t="s">
        <v>64</v>
      </c>
      <c r="K13" s="126">
        <v>46130.0</v>
      </c>
      <c r="L13" s="70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ht="15.75" customHeight="1">
      <c r="A14" s="87"/>
      <c r="B14" s="34"/>
      <c r="C14" s="34"/>
      <c r="D14" s="124" t="s">
        <v>186</v>
      </c>
      <c r="E14" s="124" t="s">
        <v>169</v>
      </c>
      <c r="F14" s="124" t="s">
        <v>169</v>
      </c>
      <c r="G14" s="34"/>
      <c r="H14" s="34"/>
      <c r="I14" s="124" t="s">
        <v>169</v>
      </c>
      <c r="J14" s="34"/>
      <c r="K14" s="34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ht="15.75" customHeight="1">
      <c r="A15" s="78" t="s">
        <v>118</v>
      </c>
      <c r="B15" s="76" t="s">
        <v>187</v>
      </c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ht="32.25" customHeight="1">
      <c r="A16" s="85" t="s">
        <v>188</v>
      </c>
      <c r="B16" s="123" t="s">
        <v>183</v>
      </c>
      <c r="C16" s="123" t="s">
        <v>83</v>
      </c>
      <c r="D16" s="124" t="s">
        <v>176</v>
      </c>
      <c r="E16" s="124" t="s">
        <v>185</v>
      </c>
      <c r="F16" s="124" t="s">
        <v>185</v>
      </c>
      <c r="G16" s="123" t="s">
        <v>64</v>
      </c>
      <c r="H16" s="125">
        <v>46127.0</v>
      </c>
      <c r="I16" s="124" t="s">
        <v>185</v>
      </c>
      <c r="J16" s="123" t="s">
        <v>64</v>
      </c>
      <c r="K16" s="126">
        <v>46130.0</v>
      </c>
      <c r="L16" s="70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ht="33.0" customHeight="1">
      <c r="A17" s="87"/>
      <c r="B17" s="34"/>
      <c r="C17" s="34"/>
      <c r="D17" s="124" t="s">
        <v>148</v>
      </c>
      <c r="E17" s="124" t="s">
        <v>169</v>
      </c>
      <c r="F17" s="124" t="s">
        <v>169</v>
      </c>
      <c r="G17" s="34"/>
      <c r="H17" s="34"/>
      <c r="I17" s="124" t="s">
        <v>169</v>
      </c>
      <c r="J17" s="34"/>
      <c r="K17" s="34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ht="22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ht="22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ht="22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ht="22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ht="22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ht="22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ht="22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ht="22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ht="22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ht="22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ht="22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ht="22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ht="22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ht="22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ht="22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ht="22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ht="22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ht="22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ht="22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ht="22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ht="22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ht="22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ht="22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ht="22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ht="22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ht="22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ht="22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ht="22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ht="22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ht="22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ht="22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ht="22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ht="22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22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ht="22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ht="22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ht="22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ht="22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ht="22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ht="22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ht="22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ht="22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ht="22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ht="22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ht="22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ht="22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ht="22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ht="22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ht="22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ht="22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ht="22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ht="22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ht="22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ht="22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ht="22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ht="22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ht="22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ht="22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ht="22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ht="22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ht="22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ht="22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ht="22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ht="22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ht="22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ht="22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ht="22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ht="22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ht="22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ht="22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ht="22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ht="22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ht="22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ht="22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ht="22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ht="22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ht="22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ht="22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ht="22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ht="22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ht="22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ht="22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ht="22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ht="22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ht="22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ht="22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ht="22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ht="22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ht="22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ht="22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ht="22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ht="22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ht="22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ht="22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ht="22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ht="22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ht="22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ht="22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ht="22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ht="22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ht="22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ht="22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ht="22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ht="22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ht="22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ht="22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ht="22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ht="22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ht="22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ht="22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ht="22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ht="22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ht="22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ht="22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ht="22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ht="22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ht="22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ht="22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ht="22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ht="22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ht="22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ht="22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ht="22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ht="22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ht="22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ht="22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ht="22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ht="22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ht="22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ht="22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ht="22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ht="22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ht="22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ht="22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ht="22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ht="22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ht="22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ht="22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ht="22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ht="22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ht="22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ht="22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ht="22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ht="22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ht="22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ht="22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ht="22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ht="22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ht="22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ht="22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ht="22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ht="22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ht="22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ht="22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ht="22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ht="22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ht="22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ht="22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ht="22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ht="22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ht="22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ht="22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ht="22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ht="22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ht="22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ht="22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ht="22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ht="22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ht="22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ht="22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ht="22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ht="22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ht="22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ht="22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ht="22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ht="22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ht="22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ht="22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ht="22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ht="22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ht="22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ht="22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ht="22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ht="22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ht="22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ht="22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ht="22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ht="22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ht="22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ht="22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ht="22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ht="22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ht="22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ht="22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ht="22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ht="22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ht="22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ht="22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ht="22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ht="22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ht="22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ht="22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ht="22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ht="22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ht="22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ht="22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ht="22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ht="22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ht="22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ht="22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ht="22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ht="22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ht="22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ht="22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ht="22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ht="22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ht="22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ht="22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ht="22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ht="22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ht="22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ht="22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ht="22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ht="22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ht="22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ht="22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ht="22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ht="22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ht="22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ht="22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ht="22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ht="22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ht="22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ht="22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ht="22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ht="22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ht="22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ht="22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ht="22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ht="22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ht="22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ht="22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ht="22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ht="22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ht="22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ht="22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ht="22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ht="22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ht="22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ht="22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ht="22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ht="22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ht="22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ht="22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ht="22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ht="22.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ht="22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ht="22.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ht="22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ht="22.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ht="22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ht="22.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ht="22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ht="22.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ht="22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ht="22.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ht="22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ht="22.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ht="22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ht="22.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ht="22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ht="22.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ht="22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ht="22.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ht="22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ht="22.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ht="22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ht="22.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ht="22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ht="22.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ht="22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ht="22.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ht="22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ht="22.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ht="22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ht="22.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ht="22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ht="22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ht="22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ht="22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ht="22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ht="22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ht="22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ht="22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ht="22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ht="22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ht="22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ht="22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ht="22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ht="22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ht="22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ht="22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ht="22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ht="22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ht="22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ht="22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ht="22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ht="22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ht="22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ht="22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ht="22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ht="22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ht="22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ht="22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ht="22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ht="22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ht="22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ht="22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ht="22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ht="22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ht="22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ht="22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ht="22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ht="22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ht="22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ht="22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ht="22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ht="22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ht="22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ht="22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ht="22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ht="22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ht="22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ht="22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ht="22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ht="22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ht="22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ht="22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ht="22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ht="22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ht="22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ht="22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ht="22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ht="22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ht="22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ht="22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ht="22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ht="22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ht="22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ht="22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ht="22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ht="22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ht="22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ht="22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ht="22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ht="22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ht="22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ht="22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ht="22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ht="22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ht="22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ht="22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ht="22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ht="22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ht="22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ht="22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ht="22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ht="22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ht="22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ht="22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ht="22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ht="22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ht="22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ht="22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ht="22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ht="22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ht="22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ht="22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ht="22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ht="22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ht="22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ht="22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ht="22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ht="22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ht="22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ht="22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ht="22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ht="22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ht="22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ht="22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ht="22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ht="22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ht="22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ht="22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ht="22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ht="22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ht="22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ht="22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ht="22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ht="22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ht="22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ht="22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ht="22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ht="22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ht="22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ht="22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ht="22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ht="22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ht="22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ht="22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ht="22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ht="22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ht="22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ht="22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ht="22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ht="22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ht="22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ht="22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ht="22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ht="22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ht="22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ht="22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ht="22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ht="22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ht="22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ht="22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ht="22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ht="22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ht="22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ht="22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ht="22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ht="22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ht="22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ht="22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ht="22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ht="22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ht="22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ht="22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ht="22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ht="22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ht="22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ht="22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ht="22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ht="22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ht="22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ht="22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ht="22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ht="22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ht="22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ht="22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ht="22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ht="22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ht="22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ht="22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ht="22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ht="22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ht="22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ht="22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ht="22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ht="22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ht="22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ht="22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ht="22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ht="22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ht="22.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ht="22.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ht="22.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ht="22.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ht="22.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ht="22.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ht="22.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ht="22.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ht="22.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ht="22.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ht="22.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ht="22.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ht="22.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ht="22.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ht="22.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ht="22.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ht="22.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ht="22.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ht="22.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ht="22.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ht="22.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ht="22.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ht="22.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ht="22.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ht="22.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ht="22.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ht="22.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ht="22.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ht="22.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ht="22.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ht="22.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ht="22.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ht="22.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ht="22.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ht="22.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ht="22.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ht="22.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ht="22.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ht="22.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ht="22.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ht="22.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ht="22.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ht="22.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ht="22.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ht="22.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ht="22.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ht="22.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ht="22.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ht="22.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ht="22.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ht="22.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ht="22.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ht="22.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ht="22.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ht="22.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ht="22.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ht="22.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ht="22.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ht="22.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ht="22.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ht="22.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ht="22.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ht="22.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ht="22.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ht="22.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ht="22.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ht="22.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ht="22.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ht="22.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ht="22.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ht="22.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ht="22.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ht="22.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ht="22.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ht="22.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ht="22.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ht="22.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ht="22.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ht="22.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ht="22.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ht="22.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ht="22.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ht="22.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ht="22.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ht="22.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ht="22.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ht="22.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ht="22.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ht="22.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ht="22.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ht="22.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ht="22.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ht="22.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ht="22.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ht="22.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ht="22.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ht="22.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ht="22.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ht="22.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ht="22.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ht="22.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ht="22.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ht="22.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ht="22.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ht="22.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ht="22.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ht="22.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ht="22.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ht="22.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ht="22.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ht="22.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ht="22.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ht="22.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ht="22.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ht="22.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ht="22.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ht="22.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ht="22.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ht="22.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ht="22.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ht="22.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ht="22.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ht="22.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ht="22.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ht="22.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ht="22.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ht="22.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ht="22.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ht="22.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ht="22.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ht="22.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ht="22.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ht="22.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ht="22.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ht="22.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ht="22.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ht="22.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ht="22.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ht="22.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ht="22.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ht="22.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ht="22.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ht="22.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ht="22.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ht="22.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ht="22.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ht="22.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ht="22.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ht="22.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ht="22.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ht="22.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ht="22.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ht="22.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ht="22.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ht="22.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ht="22.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ht="22.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ht="22.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ht="22.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ht="22.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ht="22.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ht="22.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ht="22.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ht="22.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ht="22.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ht="22.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ht="22.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ht="22.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ht="22.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ht="22.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ht="22.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ht="22.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ht="22.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ht="22.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ht="22.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ht="22.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ht="22.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ht="22.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ht="22.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ht="22.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ht="22.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ht="22.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ht="22.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ht="22.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ht="22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ht="22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ht="22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ht="22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ht="22.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ht="22.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ht="22.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ht="22.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ht="22.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ht="22.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ht="22.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ht="22.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ht="22.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ht="22.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ht="22.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ht="22.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ht="22.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ht="22.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ht="22.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ht="22.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ht="22.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ht="22.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ht="22.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ht="22.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ht="22.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ht="22.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ht="22.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ht="22.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ht="22.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ht="22.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ht="22.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ht="22.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ht="22.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ht="22.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ht="22.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ht="22.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ht="22.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ht="22.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ht="22.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ht="22.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ht="22.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ht="22.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ht="22.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ht="22.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ht="22.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ht="22.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ht="22.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ht="22.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ht="22.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ht="22.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ht="22.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ht="22.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ht="22.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ht="22.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ht="22.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ht="22.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ht="22.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ht="22.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ht="22.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ht="22.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ht="22.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ht="22.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ht="22.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ht="22.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ht="22.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ht="22.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ht="22.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ht="22.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ht="22.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ht="22.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ht="22.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ht="22.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ht="22.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ht="22.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ht="22.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ht="22.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ht="22.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ht="22.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ht="22.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ht="22.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ht="22.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ht="22.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ht="22.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ht="22.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ht="22.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ht="22.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ht="22.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ht="22.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ht="22.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ht="22.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ht="22.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ht="22.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ht="22.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ht="22.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ht="22.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ht="22.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ht="22.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ht="22.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ht="22.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ht="22.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ht="22.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ht="22.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ht="22.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ht="22.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ht="22.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ht="22.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ht="22.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ht="22.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ht="22.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ht="22.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ht="22.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ht="22.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ht="22.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ht="22.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ht="22.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ht="22.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ht="22.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ht="22.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ht="22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ht="22.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ht="22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ht="22.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ht="22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ht="22.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ht="22.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ht="22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ht="22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ht="22.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ht="22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ht="22.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ht="22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ht="22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ht="22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ht="22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ht="22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ht="22.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ht="22.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ht="22.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ht="22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ht="22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ht="22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ht="22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ht="22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ht="22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ht="22.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ht="22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ht="22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ht="22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ht="22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ht="22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ht="22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ht="22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ht="22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ht="22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ht="22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ht="22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ht="22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ht="22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ht="22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ht="22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ht="22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ht="22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ht="22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ht="22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ht="22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ht="22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ht="22.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ht="22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ht="22.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ht="22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ht="22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ht="22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ht="22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ht="22.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ht="22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ht="22.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ht="22.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ht="22.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ht="22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ht="22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ht="22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ht="22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ht="22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ht="22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ht="22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ht="22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ht="22.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ht="22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ht="22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ht="22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ht="22.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ht="22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ht="22.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ht="22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ht="22.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ht="22.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ht="22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ht="22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ht="22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ht="22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ht="22.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ht="22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ht="22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ht="22.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ht="22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ht="22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ht="22.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ht="22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ht="22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ht="22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ht="22.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ht="22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ht="22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ht="22.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ht="22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ht="22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ht="22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ht="22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ht="22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ht="22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ht="22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ht="22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ht="22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ht="22.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ht="22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ht="22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ht="22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ht="22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ht="22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ht="22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ht="22.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ht="22.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ht="22.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ht="22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ht="22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ht="22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ht="22.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ht="22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ht="22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ht="22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ht="22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ht="22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ht="22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ht="22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ht="22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ht="22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ht="22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ht="22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ht="22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ht="22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ht="22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ht="22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ht="22.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ht="22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ht="22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ht="22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ht="22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ht="22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ht="22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ht="22.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ht="22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ht="22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ht="22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ht="22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ht="22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ht="22.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ht="22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ht="22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ht="22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ht="22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ht="22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ht="22.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ht="22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ht="22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ht="22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ht="22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ht="22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ht="22.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ht="22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ht="22.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ht="22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ht="22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ht="22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ht="22.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ht="22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ht="22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ht="22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ht="22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ht="22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ht="22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ht="22.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ht="22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ht="22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ht="22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ht="22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ht="22.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ht="22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ht="22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ht="22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ht="22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ht="22.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ht="22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ht="22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ht="22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ht="22.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ht="22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ht="22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ht="22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ht="22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ht="22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ht="22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ht="22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ht="22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ht="22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ht="22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ht="22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ht="22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ht="22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ht="22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ht="22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ht="22.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ht="22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ht="22.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ht="22.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</sheetData>
  <mergeCells count="19">
    <mergeCell ref="J13:J14"/>
    <mergeCell ref="K13:K14"/>
    <mergeCell ref="L13:L14"/>
    <mergeCell ref="B15:L15"/>
    <mergeCell ref="A16:A17"/>
    <mergeCell ref="B16:B17"/>
    <mergeCell ref="C16:C17"/>
    <mergeCell ref="G16:G17"/>
    <mergeCell ref="H16:H17"/>
    <mergeCell ref="J16:J17"/>
    <mergeCell ref="K16:K17"/>
    <mergeCell ref="L16:L17"/>
    <mergeCell ref="B1:B2"/>
    <mergeCell ref="B4:B5"/>
    <mergeCell ref="A13:A14"/>
    <mergeCell ref="B13:B14"/>
    <mergeCell ref="C13:C14"/>
    <mergeCell ref="G13:G14"/>
    <mergeCell ref="H13:H14"/>
  </mergeCells>
  <dataValidations>
    <dataValidation type="list" allowBlank="1" sqref="G9 J9 G11 J11 G13 J13 G16 J16">
      <formula1>"Pass,Fail,Untested"</formula1>
    </dataValidation>
    <dataValidation type="list" allowBlank="1" showInputMessage="1" showErrorMessage="1" prompt=" - " sqref="L4:L5">
      <formula1>"Fatal,Major,Minor,Cosmetic"</formula1>
    </dataValidation>
    <dataValidation type="list" allowBlank="1" showInputMessage="1" showErrorMessage="1" prompt=" - " sqref="L9 L11 L13 L16">
      <formula1>"Critical,Major,Minor,Cosmetic"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17.75"/>
    <col customWidth="1" min="3" max="3" width="28.13"/>
    <col customWidth="1" min="4" max="4" width="30.5"/>
    <col customWidth="1" min="5" max="5" width="17.13"/>
    <col customWidth="1" min="6" max="6" width="16.5"/>
    <col customWidth="1" min="7" max="7" width="20.75"/>
    <col customWidth="1" min="8" max="8" width="11.5"/>
    <col customWidth="1" min="9" max="26" width="8.0"/>
  </cols>
  <sheetData>
    <row r="1" ht="15.0" customHeight="1">
      <c r="A1" s="93" t="s">
        <v>17</v>
      </c>
      <c r="B1" s="94"/>
      <c r="C1" s="94"/>
      <c r="D1" s="94"/>
      <c r="E1" s="94"/>
      <c r="F1" s="94"/>
      <c r="G1" s="95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36.75" customHeight="1">
      <c r="A2" s="97" t="s">
        <v>189</v>
      </c>
      <c r="B2" s="20"/>
      <c r="C2" s="20"/>
      <c r="D2" s="20"/>
      <c r="E2" s="20"/>
      <c r="F2" s="20"/>
      <c r="G2" s="8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98"/>
      <c r="B3" s="99"/>
      <c r="C3" s="99"/>
      <c r="D3" s="99"/>
      <c r="E3" s="98"/>
      <c r="F3" s="99"/>
      <c r="G3" s="98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25.5" customHeight="1">
      <c r="A4" s="100" t="s">
        <v>19</v>
      </c>
      <c r="B4" s="101" t="s">
        <v>20</v>
      </c>
      <c r="C4" s="8"/>
      <c r="D4" s="100" t="s">
        <v>21</v>
      </c>
      <c r="E4" s="102" t="s">
        <v>160</v>
      </c>
      <c r="F4" s="100" t="s">
        <v>23</v>
      </c>
      <c r="G4" s="100" t="s">
        <v>24</v>
      </c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2.75" customHeight="1">
      <c r="A5" s="103" t="s">
        <v>190</v>
      </c>
      <c r="B5" s="20"/>
      <c r="C5" s="20"/>
      <c r="D5" s="20"/>
      <c r="E5" s="20"/>
      <c r="F5" s="20"/>
      <c r="G5" s="8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2.75" customHeight="1">
      <c r="A6" s="104" t="s">
        <v>26</v>
      </c>
      <c r="B6" s="20"/>
      <c r="C6" s="20"/>
      <c r="D6" s="20"/>
      <c r="E6" s="20"/>
      <c r="F6" s="20"/>
      <c r="G6" s="8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2.75" customHeight="1">
      <c r="A7" s="104" t="s">
        <v>191</v>
      </c>
      <c r="B7" s="20"/>
      <c r="C7" s="20"/>
      <c r="D7" s="20"/>
      <c r="E7" s="20"/>
      <c r="F7" s="20"/>
      <c r="G7" s="8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3.5" customHeight="1">
      <c r="A8" s="105"/>
      <c r="B8" s="20"/>
      <c r="C8" s="20"/>
      <c r="D8" s="20"/>
      <c r="E8" s="20"/>
      <c r="F8" s="20"/>
      <c r="G8" s="8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2.75" customHeight="1">
      <c r="A9" s="106">
        <v>1.0</v>
      </c>
      <c r="B9" s="112" t="s">
        <v>192</v>
      </c>
      <c r="C9" s="8"/>
      <c r="D9" s="108"/>
      <c r="E9" s="109"/>
      <c r="F9" s="110"/>
      <c r="G9" s="113" t="s">
        <v>30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2.75" customHeight="1">
      <c r="A10" s="106">
        <v>2.0</v>
      </c>
      <c r="B10" s="112" t="s">
        <v>193</v>
      </c>
      <c r="C10" s="8"/>
      <c r="D10" s="108"/>
      <c r="E10" s="109"/>
      <c r="F10" s="110"/>
      <c r="G10" s="33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2.75" customHeight="1">
      <c r="A11" s="106">
        <v>3.0</v>
      </c>
      <c r="B11" s="112" t="s">
        <v>39</v>
      </c>
      <c r="C11" s="8"/>
      <c r="D11" s="109"/>
      <c r="E11" s="109"/>
      <c r="F11" s="110"/>
      <c r="G11" s="33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48.0" customHeight="1">
      <c r="A12" s="106">
        <v>4.0</v>
      </c>
      <c r="B12" s="112" t="s">
        <v>194</v>
      </c>
      <c r="C12" s="8"/>
      <c r="D12" s="128"/>
      <c r="E12" s="109"/>
      <c r="F12" s="110"/>
      <c r="G12" s="33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48.0" customHeight="1">
      <c r="A13" s="106">
        <v>5.0</v>
      </c>
      <c r="B13" s="112" t="s">
        <v>195</v>
      </c>
      <c r="C13" s="8"/>
      <c r="D13" s="128" t="s">
        <v>196</v>
      </c>
      <c r="E13" s="109"/>
      <c r="F13" s="110"/>
      <c r="G13" s="34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2.75" customHeight="1">
      <c r="A14" s="103" t="s">
        <v>197</v>
      </c>
      <c r="B14" s="20"/>
      <c r="C14" s="20"/>
      <c r="D14" s="20"/>
      <c r="E14" s="20"/>
      <c r="F14" s="20"/>
      <c r="G14" s="8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2.75" customHeight="1">
      <c r="A15" s="104" t="s">
        <v>36</v>
      </c>
      <c r="B15" s="20"/>
      <c r="C15" s="20"/>
      <c r="D15" s="20"/>
      <c r="E15" s="20"/>
      <c r="F15" s="20"/>
      <c r="G15" s="8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2.75" customHeight="1">
      <c r="A16" s="104" t="s">
        <v>191</v>
      </c>
      <c r="B16" s="20"/>
      <c r="C16" s="20"/>
      <c r="D16" s="20"/>
      <c r="E16" s="20"/>
      <c r="F16" s="20"/>
      <c r="G16" s="8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3.5" customHeight="1">
      <c r="A17" s="105"/>
      <c r="B17" s="20"/>
      <c r="C17" s="20"/>
      <c r="D17" s="20"/>
      <c r="E17" s="20"/>
      <c r="F17" s="20"/>
      <c r="G17" s="8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2.75" customHeight="1">
      <c r="A18" s="106">
        <v>1.0</v>
      </c>
      <c r="B18" s="112" t="s">
        <v>192</v>
      </c>
      <c r="C18" s="8"/>
      <c r="D18" s="108"/>
      <c r="E18" s="109"/>
      <c r="F18" s="110"/>
      <c r="G18" s="113" t="s">
        <v>30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2.75" customHeight="1">
      <c r="A19" s="106">
        <v>2.0</v>
      </c>
      <c r="B19" s="112" t="s">
        <v>198</v>
      </c>
      <c r="C19" s="8"/>
      <c r="D19" s="108"/>
      <c r="E19" s="109"/>
      <c r="F19" s="110"/>
      <c r="G19" s="33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2.75" customHeight="1">
      <c r="A20" s="106">
        <v>3.0</v>
      </c>
      <c r="B20" s="112" t="s">
        <v>39</v>
      </c>
      <c r="C20" s="8"/>
      <c r="D20" s="109"/>
      <c r="E20" s="109"/>
      <c r="F20" s="110"/>
      <c r="G20" s="33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48.0" customHeight="1">
      <c r="A21" s="106">
        <v>4.0</v>
      </c>
      <c r="B21" s="112" t="s">
        <v>194</v>
      </c>
      <c r="C21" s="8"/>
      <c r="D21" s="128"/>
      <c r="E21" s="109"/>
      <c r="F21" s="110"/>
      <c r="G21" s="33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48.0" customHeight="1">
      <c r="A22" s="106">
        <v>5.0</v>
      </c>
      <c r="B22" s="112" t="s">
        <v>199</v>
      </c>
      <c r="C22" s="8"/>
      <c r="D22" s="128" t="s">
        <v>200</v>
      </c>
      <c r="E22" s="109"/>
      <c r="F22" s="110"/>
      <c r="G22" s="34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2.75" customHeight="1">
      <c r="A23" s="103" t="s">
        <v>201</v>
      </c>
      <c r="B23" s="20"/>
      <c r="C23" s="20"/>
      <c r="D23" s="20"/>
      <c r="E23" s="20"/>
      <c r="F23" s="20"/>
      <c r="G23" s="8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2.75" customHeight="1">
      <c r="A24" s="104" t="s">
        <v>26</v>
      </c>
      <c r="B24" s="20"/>
      <c r="C24" s="20"/>
      <c r="D24" s="20"/>
      <c r="E24" s="20"/>
      <c r="F24" s="20"/>
      <c r="G24" s="8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2.75" customHeight="1">
      <c r="A25" s="104" t="s">
        <v>191</v>
      </c>
      <c r="B25" s="20"/>
      <c r="C25" s="20"/>
      <c r="D25" s="20"/>
      <c r="E25" s="20"/>
      <c r="F25" s="20"/>
      <c r="G25" s="8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3.5" customHeight="1">
      <c r="A26" s="105"/>
      <c r="B26" s="20"/>
      <c r="C26" s="20"/>
      <c r="D26" s="20"/>
      <c r="E26" s="20"/>
      <c r="F26" s="20"/>
      <c r="G26" s="8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2.75" customHeight="1">
      <c r="A27" s="106">
        <v>1.0</v>
      </c>
      <c r="B27" s="112" t="s">
        <v>192</v>
      </c>
      <c r="C27" s="8"/>
      <c r="D27" s="108"/>
      <c r="E27" s="109"/>
      <c r="F27" s="110"/>
      <c r="G27" s="113" t="s">
        <v>30</v>
      </c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2.75" customHeight="1">
      <c r="A28" s="106">
        <v>2.0</v>
      </c>
      <c r="B28" s="112" t="s">
        <v>193</v>
      </c>
      <c r="C28" s="8"/>
      <c r="D28" s="108"/>
      <c r="E28" s="109"/>
      <c r="F28" s="110"/>
      <c r="G28" s="33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2.75" customHeight="1">
      <c r="A29" s="106">
        <v>3.0</v>
      </c>
      <c r="B29" s="112" t="s">
        <v>39</v>
      </c>
      <c r="C29" s="8"/>
      <c r="D29" s="109"/>
      <c r="E29" s="109"/>
      <c r="F29" s="110"/>
      <c r="G29" s="33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48.0" customHeight="1">
      <c r="A30" s="106">
        <v>4.0</v>
      </c>
      <c r="B30" s="112" t="s">
        <v>194</v>
      </c>
      <c r="C30" s="8"/>
      <c r="D30" s="128"/>
      <c r="E30" s="109"/>
      <c r="F30" s="110"/>
      <c r="G30" s="33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48.0" customHeight="1">
      <c r="A31" s="106">
        <v>5.0</v>
      </c>
      <c r="B31" s="112" t="s">
        <v>51</v>
      </c>
      <c r="C31" s="8"/>
      <c r="D31" s="128" t="s">
        <v>202</v>
      </c>
      <c r="E31" s="109"/>
      <c r="F31" s="110"/>
      <c r="G31" s="34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2.75" customHeight="1">
      <c r="A32" s="103" t="s">
        <v>203</v>
      </c>
      <c r="B32" s="20"/>
      <c r="C32" s="20"/>
      <c r="D32" s="20"/>
      <c r="E32" s="20"/>
      <c r="F32" s="20"/>
      <c r="G32" s="8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2.75" customHeight="1">
      <c r="A33" s="104" t="s">
        <v>26</v>
      </c>
      <c r="B33" s="20"/>
      <c r="C33" s="20"/>
      <c r="D33" s="20"/>
      <c r="E33" s="20"/>
      <c r="F33" s="20"/>
      <c r="G33" s="8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2.75" customHeight="1">
      <c r="A34" s="104" t="s">
        <v>191</v>
      </c>
      <c r="B34" s="20"/>
      <c r="C34" s="20"/>
      <c r="D34" s="20"/>
      <c r="E34" s="20"/>
      <c r="F34" s="20"/>
      <c r="G34" s="8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3.5" customHeight="1">
      <c r="A35" s="105"/>
      <c r="B35" s="20"/>
      <c r="C35" s="20"/>
      <c r="D35" s="20"/>
      <c r="E35" s="20"/>
      <c r="F35" s="20"/>
      <c r="G35" s="8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2.75" customHeight="1">
      <c r="A36" s="106">
        <v>1.0</v>
      </c>
      <c r="B36" s="112" t="s">
        <v>192</v>
      </c>
      <c r="C36" s="8"/>
      <c r="D36" s="108"/>
      <c r="E36" s="109"/>
      <c r="F36" s="110"/>
      <c r="G36" s="113" t="s">
        <v>30</v>
      </c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2.75" customHeight="1">
      <c r="A37" s="106">
        <v>2.0</v>
      </c>
      <c r="B37" s="112" t="s">
        <v>193</v>
      </c>
      <c r="C37" s="8"/>
      <c r="D37" s="108"/>
      <c r="E37" s="109"/>
      <c r="F37" s="110"/>
      <c r="G37" s="33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2.75" customHeight="1">
      <c r="A38" s="106">
        <v>3.0</v>
      </c>
      <c r="B38" s="112" t="s">
        <v>39</v>
      </c>
      <c r="C38" s="8"/>
      <c r="D38" s="109"/>
      <c r="E38" s="109"/>
      <c r="F38" s="110"/>
      <c r="G38" s="33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48.0" customHeight="1">
      <c r="A39" s="106">
        <v>4.0</v>
      </c>
      <c r="B39" s="112" t="s">
        <v>194</v>
      </c>
      <c r="C39" s="8"/>
      <c r="D39" s="128"/>
      <c r="E39" s="109"/>
      <c r="F39" s="110"/>
      <c r="G39" s="33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48.0" customHeight="1">
      <c r="A40" s="106">
        <v>5.0</v>
      </c>
      <c r="B40" s="112" t="s">
        <v>56</v>
      </c>
      <c r="C40" s="8"/>
      <c r="D40" s="128" t="s">
        <v>202</v>
      </c>
      <c r="E40" s="109"/>
      <c r="F40" s="110"/>
      <c r="G40" s="34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2.7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2.7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2.7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2.7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2.7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2.7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2.7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2.7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2.7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2.7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2.7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2.7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2.7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2.7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2.7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2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2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2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2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2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2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2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2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2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2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2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2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2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2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2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2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2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2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2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2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2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2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2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2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2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2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2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2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2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2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2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2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2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2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2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2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2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2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2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2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2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2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2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2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2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2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2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2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2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2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2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2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2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2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2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2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2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2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2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2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2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2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2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2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2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2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2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2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2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2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2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2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2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2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2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2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2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2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2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2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2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2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2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2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2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2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2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2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2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2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2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2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2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2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2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2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2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2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2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2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2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2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2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2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2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2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2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2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2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2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2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2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2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2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2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2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2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2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2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2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2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2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2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2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2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2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2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2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2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2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2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2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2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2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2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2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2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2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2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2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2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2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2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2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2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2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2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2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2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2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2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2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2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2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2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2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2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2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2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2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2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2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2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2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2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2.7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2.7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2.7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2.7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2.7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2.7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2.7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2.7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2.7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2.7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2.7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2.7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2.7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2.7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2.7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2.7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2.7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2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2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2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2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2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2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2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2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2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2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2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2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2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2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2.7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2.7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2.7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2.7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2.7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2.7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2.7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2.7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2.7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2.7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2.7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2.7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2.7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2.7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2.7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2.7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2.7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2.7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2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2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2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2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2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2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2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2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2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2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2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2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2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2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2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2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2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2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2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2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2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2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2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2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2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2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2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2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2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2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2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2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2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2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2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2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2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2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2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2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2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2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2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2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2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2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2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2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2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2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2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2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2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2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2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2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2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2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2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2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2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2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2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2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2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2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2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2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2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2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2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2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2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2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2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2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2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2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2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2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2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2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2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2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2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2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2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2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2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2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2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2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2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2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2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2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2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2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2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2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2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2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2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2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2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2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2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2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2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2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2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2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2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2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2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2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2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2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2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2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2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2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2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2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2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2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2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2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2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2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2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2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2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2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2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2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2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2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2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2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2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2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2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2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2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2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2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2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2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2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2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2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2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2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2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2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2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2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2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2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2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2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2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2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2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2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2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2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2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2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2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2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2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2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2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2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2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2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2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2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2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2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2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2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2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2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2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2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2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2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2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2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2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2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2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2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2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2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2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2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2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2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2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2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2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2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2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2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2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2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2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2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2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2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2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2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2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2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2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2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2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2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2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2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2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2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2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2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2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2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2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2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2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2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2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2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2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2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2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2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2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2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2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2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2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2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2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2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2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2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2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2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2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2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2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2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2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2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2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2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2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2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2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2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2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2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2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2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2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2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2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2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2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2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2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2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2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2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2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2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2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2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2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2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2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2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2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2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2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2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2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2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2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2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2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2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2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2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2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2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2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2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2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2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2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2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2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2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2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2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2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2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2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2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2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2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2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2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2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2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2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2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2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2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2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2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2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2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2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2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2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2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2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2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2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2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2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2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2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2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2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2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2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2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2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2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2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2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2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2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2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2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2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2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2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2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2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2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2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2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2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2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2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2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2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2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2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2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2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2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2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2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2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2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2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2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2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2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2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2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2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2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2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2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2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2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2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2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2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2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2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2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2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2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2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2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2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2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2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2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2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2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2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2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2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2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2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2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2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2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2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2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2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2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2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2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2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2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2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2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2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2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2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2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2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2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2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2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2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2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2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2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2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2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2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2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2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2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2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2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2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2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2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2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2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2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2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2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2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2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2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2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2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2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2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2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2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2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2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2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2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2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2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2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2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2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2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2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2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2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2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2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2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2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2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2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2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2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2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2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2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2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2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2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2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2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2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2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2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2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2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2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2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2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2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2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2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2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2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2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2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2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2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2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2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2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2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2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2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2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2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2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2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2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2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2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2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2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2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2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2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2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2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2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2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2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2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2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2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2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2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2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2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2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2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2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2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2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2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2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2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2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2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2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2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2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2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2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2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2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2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2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2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2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2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2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2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2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2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2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2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2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2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2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2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2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2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2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2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2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2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2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2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2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2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2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2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2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2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2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2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2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2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2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2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2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2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2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2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2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2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2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2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2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2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2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2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2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2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2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2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2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2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2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2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2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2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2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2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2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2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2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2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2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2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2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2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2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2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2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2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2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2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2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2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2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2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2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2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2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2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2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2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2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2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2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2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2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2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2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2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2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2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2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2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2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2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2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2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2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2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2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2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2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2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2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2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2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2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2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2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2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2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2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2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2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2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2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2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2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2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2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2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2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2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2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2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2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2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2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2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2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2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2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2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2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2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2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2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2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2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2.7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2.7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2.7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2.7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2.7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2.7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2.7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2.7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2.7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2.7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2.7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2.7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2.7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2.7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2.7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2.7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2.7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2.7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2.7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2.7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ht="12.7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ht="12.7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ht="12.7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ht="12.7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ht="12.7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ht="12.7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ht="12.7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ht="12.7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ht="12.7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ht="12.7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ht="12.75" customHeight="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</sheetData>
  <mergeCells count="43">
    <mergeCell ref="A23:G23"/>
    <mergeCell ref="A24:G24"/>
    <mergeCell ref="A25:G25"/>
    <mergeCell ref="A26:G26"/>
    <mergeCell ref="B27:C27"/>
    <mergeCell ref="G27:G31"/>
    <mergeCell ref="B28:C28"/>
    <mergeCell ref="B31:C31"/>
    <mergeCell ref="A32:G32"/>
    <mergeCell ref="A33:G33"/>
    <mergeCell ref="A34:G34"/>
    <mergeCell ref="A35:G35"/>
    <mergeCell ref="B36:C36"/>
    <mergeCell ref="G36:G40"/>
    <mergeCell ref="A1:G1"/>
    <mergeCell ref="A2:G2"/>
    <mergeCell ref="B4:C4"/>
    <mergeCell ref="A5:G5"/>
    <mergeCell ref="A6:G6"/>
    <mergeCell ref="A7:G7"/>
    <mergeCell ref="A8:G8"/>
    <mergeCell ref="B9:C9"/>
    <mergeCell ref="G9:G13"/>
    <mergeCell ref="B10:C10"/>
    <mergeCell ref="B11:C11"/>
    <mergeCell ref="B12:C12"/>
    <mergeCell ref="B13:C13"/>
    <mergeCell ref="A14:G14"/>
    <mergeCell ref="B21:C21"/>
    <mergeCell ref="B22:C22"/>
    <mergeCell ref="A15:G15"/>
    <mergeCell ref="A16:G16"/>
    <mergeCell ref="A17:G17"/>
    <mergeCell ref="B18:C18"/>
    <mergeCell ref="G18:G22"/>
    <mergeCell ref="B19:C19"/>
    <mergeCell ref="B20:C20"/>
    <mergeCell ref="B29:C29"/>
    <mergeCell ref="B30:C30"/>
    <mergeCell ref="B37:C37"/>
    <mergeCell ref="B38:C38"/>
    <mergeCell ref="B39:C39"/>
    <mergeCell ref="B40:C40"/>
  </mergeCells>
  <dataValidations>
    <dataValidation type="list" allowBlank="1" sqref="G9 G18 G27 G36">
      <formula1>"Developing,Tested"</formula1>
    </dataValidation>
  </dataValidations>
  <hyperlinks>
    <hyperlink display="Scenario 1:   Cập nhật sản phẩm thành công" location="'FUNC TC_CẬP NHẬT SẢN PHẨM'!A8:B8" ref="A5"/>
    <hyperlink display="Scenario 2: Cập nhật không thành công vì Tên sản phẩm để trống" location="'FUNC TC_CẬP NHẬT SẢN PHẨM'!A14:B14" ref="A14"/>
    <hyperlink display="Scenario 3: Bấm nút &quot;Hủy&quot; để dừng việc cập nhật" location="'FUNC TC_CẬP NHẬT SẢN PHẨM'!A20:B20" ref="A23"/>
    <hyperlink display="Scenario 4: Bấm nút &quot;X&quot; để dừng việc tạo khi đã nhập thông tin" location="'FUNC TC_CẬP NHẬT SẢN PHẨM'!A28:B28" ref="A32"/>
  </hyperlink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5"/>
    <col customWidth="1" min="2" max="2" width="25.5"/>
    <col customWidth="1" min="3" max="3" width="23.5"/>
    <col customWidth="1" min="4" max="4" width="30.5"/>
    <col customWidth="1" min="5" max="5" width="27.13"/>
    <col customWidth="1" min="6" max="6" width="24.0"/>
    <col customWidth="1" min="7" max="7" width="15.13"/>
    <col customWidth="1" min="8" max="8" width="8.0"/>
    <col customWidth="1" min="9" max="9" width="22.88"/>
    <col customWidth="1" min="10" max="10" width="7.13"/>
    <col customWidth="1" min="11" max="11" width="8.0"/>
    <col customWidth="1" min="12" max="12" width="8.88"/>
    <col customWidth="1" min="13" max="30" width="8.0"/>
  </cols>
  <sheetData>
    <row r="1" ht="22.5" customHeight="1">
      <c r="A1" s="50"/>
      <c r="B1" s="51" t="s">
        <v>63</v>
      </c>
      <c r="C1" s="52" t="s">
        <v>64</v>
      </c>
      <c r="D1" s="52" t="s">
        <v>65</v>
      </c>
      <c r="E1" s="52" t="s">
        <v>66</v>
      </c>
      <c r="F1" s="52" t="s">
        <v>67</v>
      </c>
      <c r="G1" s="50"/>
      <c r="H1" s="21"/>
      <c r="I1" s="21"/>
      <c r="J1" s="21"/>
      <c r="K1" s="21"/>
      <c r="L1" s="50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ht="22.5" customHeight="1">
      <c r="A2" s="50"/>
      <c r="B2" s="53"/>
      <c r="C2" s="54">
        <f>COUNTIF(G1:G233,"Pass")</f>
        <v>5</v>
      </c>
      <c r="D2" s="54">
        <f>COUNTIF(G1:G233,"Fail")</f>
        <v>1</v>
      </c>
      <c r="E2" s="54">
        <f>COUNTIF(G1:G233,"Untested")</f>
        <v>0</v>
      </c>
      <c r="F2" s="54">
        <f>SUM(C2,D2,E2)</f>
        <v>6</v>
      </c>
      <c r="G2" s="50"/>
      <c r="H2" s="21"/>
      <c r="I2" s="21"/>
      <c r="J2" s="21"/>
      <c r="K2" s="21"/>
      <c r="L2" s="50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ht="22.5" customHeight="1">
      <c r="A3" s="50"/>
      <c r="B3" s="50"/>
      <c r="C3" s="50"/>
      <c r="D3" s="50"/>
      <c r="E3" s="50"/>
      <c r="F3" s="50"/>
      <c r="G3" s="50"/>
      <c r="H3" s="21"/>
      <c r="I3" s="21"/>
      <c r="J3" s="21"/>
      <c r="K3" s="21"/>
      <c r="L3" s="50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22.5" customHeight="1">
      <c r="A4" s="39"/>
      <c r="B4" s="114" t="s">
        <v>171</v>
      </c>
      <c r="C4" s="115" t="s">
        <v>64</v>
      </c>
      <c r="D4" s="115" t="s">
        <v>65</v>
      </c>
      <c r="E4" s="115" t="s">
        <v>66</v>
      </c>
      <c r="F4" s="115" t="s">
        <v>67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</row>
    <row r="5" ht="22.5" customHeight="1">
      <c r="A5" s="39"/>
      <c r="B5" s="58"/>
      <c r="C5" s="116">
        <f>COUNTIF(J4:J236,"Pass")</f>
        <v>5</v>
      </c>
      <c r="D5" s="116">
        <f>COUNTIF(J4:J236,"Fail")</f>
        <v>1</v>
      </c>
      <c r="E5" s="116">
        <f>COUNTIF(J4:J236,"Untested")</f>
        <v>0</v>
      </c>
      <c r="F5" s="116">
        <f>SUM(C5,D5,E5)</f>
        <v>6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</row>
    <row r="6" ht="22.5" customHeight="1">
      <c r="A6" s="50"/>
      <c r="B6" s="50"/>
      <c r="C6" s="50"/>
      <c r="D6" s="50"/>
      <c r="E6" s="50"/>
      <c r="F6" s="50"/>
      <c r="G6" s="50"/>
      <c r="H6" s="21"/>
      <c r="I6" s="21"/>
      <c r="J6" s="21"/>
      <c r="K6" s="21"/>
      <c r="L6" s="50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ht="24.75" customHeight="1">
      <c r="A7" s="60" t="s">
        <v>69</v>
      </c>
      <c r="B7" s="60" t="s">
        <v>70</v>
      </c>
      <c r="C7" s="60" t="s">
        <v>71</v>
      </c>
      <c r="D7" s="60" t="s">
        <v>72</v>
      </c>
      <c r="E7" s="60" t="s">
        <v>73</v>
      </c>
      <c r="F7" s="60" t="s">
        <v>74</v>
      </c>
      <c r="G7" s="60" t="s">
        <v>75</v>
      </c>
      <c r="H7" s="61" t="s">
        <v>76</v>
      </c>
      <c r="I7" s="61" t="s">
        <v>204</v>
      </c>
      <c r="J7" s="61" t="s">
        <v>205</v>
      </c>
      <c r="K7" s="61" t="s">
        <v>79</v>
      </c>
      <c r="L7" s="60" t="s">
        <v>80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ht="12.75" customHeight="1">
      <c r="A8" s="62" t="s">
        <v>81</v>
      </c>
      <c r="B8" s="63" t="s">
        <v>206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ht="39.75" customHeight="1">
      <c r="A9" s="85" t="s">
        <v>207</v>
      </c>
      <c r="B9" s="123" t="s">
        <v>206</v>
      </c>
      <c r="C9" s="123" t="s">
        <v>83</v>
      </c>
      <c r="D9" s="124" t="s">
        <v>208</v>
      </c>
      <c r="E9" s="124" t="s">
        <v>209</v>
      </c>
      <c r="F9" s="124" t="s">
        <v>209</v>
      </c>
      <c r="G9" s="123" t="s">
        <v>64</v>
      </c>
      <c r="H9" s="125">
        <v>46127.0</v>
      </c>
      <c r="I9" s="124" t="s">
        <v>209</v>
      </c>
      <c r="J9" s="123" t="s">
        <v>64</v>
      </c>
      <c r="K9" s="125">
        <v>46130.0</v>
      </c>
      <c r="L9" s="122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ht="39.75" customHeight="1">
      <c r="A10" s="87"/>
      <c r="B10" s="33"/>
      <c r="C10" s="33"/>
      <c r="D10" s="124" t="s">
        <v>210</v>
      </c>
      <c r="E10" s="68" t="s">
        <v>88</v>
      </c>
      <c r="F10" s="68" t="s">
        <v>88</v>
      </c>
      <c r="G10" s="33"/>
      <c r="H10" s="33"/>
      <c r="I10" s="68" t="s">
        <v>88</v>
      </c>
      <c r="J10" s="33"/>
      <c r="K10" s="33"/>
      <c r="L10" s="129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ht="43.5" customHeight="1">
      <c r="A11" s="87"/>
      <c r="B11" s="33"/>
      <c r="C11" s="33"/>
      <c r="D11" s="124" t="s">
        <v>211</v>
      </c>
      <c r="E11" s="68" t="s">
        <v>90</v>
      </c>
      <c r="F11" s="68" t="s">
        <v>90</v>
      </c>
      <c r="G11" s="33"/>
      <c r="H11" s="33"/>
      <c r="I11" s="68" t="s">
        <v>90</v>
      </c>
      <c r="J11" s="33"/>
      <c r="K11" s="33"/>
      <c r="L11" s="129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ht="45.75" customHeight="1">
      <c r="A12" s="87"/>
      <c r="B12" s="33"/>
      <c r="C12" s="33"/>
      <c r="D12" s="124" t="s">
        <v>212</v>
      </c>
      <c r="E12" s="124" t="s">
        <v>213</v>
      </c>
      <c r="F12" s="124" t="s">
        <v>213</v>
      </c>
      <c r="G12" s="33"/>
      <c r="H12" s="33"/>
      <c r="I12" s="124" t="s">
        <v>213</v>
      </c>
      <c r="J12" s="33"/>
      <c r="K12" s="33"/>
      <c r="L12" s="129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ht="46.5" customHeight="1">
      <c r="A13" s="87"/>
      <c r="B13" s="34"/>
      <c r="C13" s="34"/>
      <c r="D13" s="124" t="s">
        <v>214</v>
      </c>
      <c r="E13" s="124" t="s">
        <v>215</v>
      </c>
      <c r="F13" s="124" t="s">
        <v>215</v>
      </c>
      <c r="G13" s="34"/>
      <c r="H13" s="34"/>
      <c r="I13" s="124" t="s">
        <v>215</v>
      </c>
      <c r="J13" s="34"/>
      <c r="K13" s="34"/>
      <c r="L13" s="129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ht="33.75" customHeight="1">
      <c r="A14" s="75" t="s">
        <v>97</v>
      </c>
      <c r="B14" s="76" t="s">
        <v>216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ht="12.75" customHeight="1">
      <c r="A15" s="85" t="s">
        <v>217</v>
      </c>
      <c r="B15" s="123" t="s">
        <v>216</v>
      </c>
      <c r="C15" s="123" t="s">
        <v>83</v>
      </c>
      <c r="D15" s="124" t="s">
        <v>208</v>
      </c>
      <c r="E15" s="124" t="s">
        <v>209</v>
      </c>
      <c r="F15" s="124" t="s">
        <v>209</v>
      </c>
      <c r="G15" s="123" t="s">
        <v>65</v>
      </c>
      <c r="H15" s="125">
        <v>46127.0</v>
      </c>
      <c r="I15" s="124" t="s">
        <v>209</v>
      </c>
      <c r="J15" s="123" t="s">
        <v>65</v>
      </c>
      <c r="K15" s="125">
        <v>46130.0</v>
      </c>
      <c r="L15" s="122" t="s">
        <v>86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ht="19.5" customHeight="1">
      <c r="A16" s="87"/>
      <c r="B16" s="33"/>
      <c r="C16" s="33"/>
      <c r="D16" s="124" t="s">
        <v>218</v>
      </c>
      <c r="E16" s="124" t="s">
        <v>219</v>
      </c>
      <c r="F16" s="124" t="s">
        <v>220</v>
      </c>
      <c r="G16" s="33"/>
      <c r="H16" s="33"/>
      <c r="I16" s="124" t="s">
        <v>220</v>
      </c>
      <c r="J16" s="33"/>
      <c r="K16" s="33"/>
      <c r="L16" s="129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ht="27.0" customHeight="1">
      <c r="A17" s="87"/>
      <c r="B17" s="33"/>
      <c r="C17" s="33"/>
      <c r="D17" s="124" t="s">
        <v>211</v>
      </c>
      <c r="E17" s="68" t="s">
        <v>90</v>
      </c>
      <c r="F17" s="68" t="s">
        <v>90</v>
      </c>
      <c r="G17" s="33"/>
      <c r="H17" s="33"/>
      <c r="I17" s="68" t="s">
        <v>90</v>
      </c>
      <c r="J17" s="33"/>
      <c r="K17" s="33"/>
      <c r="L17" s="129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ht="27.75" customHeight="1">
      <c r="A18" s="87"/>
      <c r="B18" s="33"/>
      <c r="C18" s="33"/>
      <c r="D18" s="124" t="s">
        <v>212</v>
      </c>
      <c r="E18" s="124" t="s">
        <v>213</v>
      </c>
      <c r="F18" s="124" t="s">
        <v>213</v>
      </c>
      <c r="G18" s="33"/>
      <c r="H18" s="33"/>
      <c r="I18" s="124" t="s">
        <v>213</v>
      </c>
      <c r="J18" s="33"/>
      <c r="K18" s="33"/>
      <c r="L18" s="129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ht="15.75" customHeight="1">
      <c r="A19" s="87"/>
      <c r="B19" s="34"/>
      <c r="C19" s="34"/>
      <c r="D19" s="124" t="s">
        <v>221</v>
      </c>
      <c r="E19" s="124" t="s">
        <v>222</v>
      </c>
      <c r="F19" s="124" t="s">
        <v>223</v>
      </c>
      <c r="G19" s="34"/>
      <c r="H19" s="34"/>
      <c r="I19" s="124" t="s">
        <v>223</v>
      </c>
      <c r="J19" s="34"/>
      <c r="K19" s="34"/>
      <c r="L19" s="129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ht="22.5" customHeight="1">
      <c r="A20" s="78" t="s">
        <v>109</v>
      </c>
      <c r="B20" s="76" t="s">
        <v>224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ht="39.0" customHeight="1">
      <c r="A21" s="85" t="s">
        <v>225</v>
      </c>
      <c r="B21" s="123" t="s">
        <v>226</v>
      </c>
      <c r="C21" s="123" t="s">
        <v>83</v>
      </c>
      <c r="D21" s="124" t="s">
        <v>208</v>
      </c>
      <c r="E21" s="124" t="s">
        <v>101</v>
      </c>
      <c r="F21" s="124" t="s">
        <v>101</v>
      </c>
      <c r="G21" s="123" t="s">
        <v>64</v>
      </c>
      <c r="H21" s="125">
        <v>46127.0</v>
      </c>
      <c r="I21" s="124" t="s">
        <v>101</v>
      </c>
      <c r="J21" s="123" t="s">
        <v>64</v>
      </c>
      <c r="K21" s="125">
        <v>46130.0</v>
      </c>
      <c r="L21" s="122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ht="39.0" customHeight="1">
      <c r="A22" s="87"/>
      <c r="B22" s="33"/>
      <c r="C22" s="33"/>
      <c r="D22" s="124" t="s">
        <v>210</v>
      </c>
      <c r="E22" s="68" t="s">
        <v>88</v>
      </c>
      <c r="F22" s="68" t="s">
        <v>88</v>
      </c>
      <c r="G22" s="33"/>
      <c r="H22" s="33"/>
      <c r="I22" s="68" t="s">
        <v>88</v>
      </c>
      <c r="J22" s="33"/>
      <c r="K22" s="33"/>
      <c r="L22" s="129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ht="19.5" customHeight="1">
      <c r="A23" s="87"/>
      <c r="B23" s="33"/>
      <c r="C23" s="33"/>
      <c r="D23" s="124" t="s">
        <v>211</v>
      </c>
      <c r="E23" s="68" t="s">
        <v>90</v>
      </c>
      <c r="F23" s="68" t="s">
        <v>90</v>
      </c>
      <c r="G23" s="33"/>
      <c r="H23" s="33"/>
      <c r="I23" s="68" t="s">
        <v>90</v>
      </c>
      <c r="J23" s="33"/>
      <c r="K23" s="33"/>
      <c r="L23" s="129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ht="40.5" customHeight="1">
      <c r="A24" s="87"/>
      <c r="B24" s="33"/>
      <c r="C24" s="33"/>
      <c r="D24" s="124" t="s">
        <v>212</v>
      </c>
      <c r="E24" s="124" t="s">
        <v>213</v>
      </c>
      <c r="F24" s="124" t="s">
        <v>213</v>
      </c>
      <c r="G24" s="33"/>
      <c r="H24" s="33"/>
      <c r="I24" s="124" t="s">
        <v>213</v>
      </c>
      <c r="J24" s="33"/>
      <c r="K24" s="33"/>
      <c r="L24" s="129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ht="54.0" customHeight="1">
      <c r="A25" s="87"/>
      <c r="B25" s="34"/>
      <c r="C25" s="34"/>
      <c r="D25" s="124" t="s">
        <v>227</v>
      </c>
      <c r="E25" s="124" t="s">
        <v>228</v>
      </c>
      <c r="F25" s="124" t="s">
        <v>228</v>
      </c>
      <c r="G25" s="34"/>
      <c r="H25" s="34"/>
      <c r="I25" s="124" t="s">
        <v>228</v>
      </c>
      <c r="J25" s="34"/>
      <c r="K25" s="34"/>
      <c r="L25" s="129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ht="52.5" customHeight="1">
      <c r="A26" s="65" t="s">
        <v>229</v>
      </c>
      <c r="B26" s="81" t="s">
        <v>230</v>
      </c>
      <c r="C26" s="67" t="s">
        <v>83</v>
      </c>
      <c r="D26" s="124" t="s">
        <v>208</v>
      </c>
      <c r="E26" s="68" t="s">
        <v>231</v>
      </c>
      <c r="F26" s="68" t="s">
        <v>231</v>
      </c>
      <c r="G26" s="67" t="s">
        <v>64</v>
      </c>
      <c r="H26" s="69">
        <v>46127.0</v>
      </c>
      <c r="I26" s="68" t="s">
        <v>231</v>
      </c>
      <c r="J26" s="67" t="s">
        <v>64</v>
      </c>
      <c r="K26" s="69">
        <v>46130.0</v>
      </c>
      <c r="L26" s="84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ht="64.5" customHeight="1">
      <c r="A27" s="34"/>
      <c r="B27" s="83"/>
      <c r="C27" s="34"/>
      <c r="D27" s="68" t="s">
        <v>136</v>
      </c>
      <c r="E27" s="68" t="s">
        <v>232</v>
      </c>
      <c r="F27" s="68" t="s">
        <v>232</v>
      </c>
      <c r="G27" s="34"/>
      <c r="H27" s="34"/>
      <c r="I27" s="68" t="s">
        <v>232</v>
      </c>
      <c r="J27" s="34"/>
      <c r="K27" s="34"/>
      <c r="L27" s="34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ht="22.5" customHeight="1">
      <c r="A28" s="78" t="s">
        <v>118</v>
      </c>
      <c r="B28" s="76" t="s">
        <v>139</v>
      </c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ht="22.5" customHeight="1">
      <c r="A29" s="85" t="s">
        <v>233</v>
      </c>
      <c r="B29" s="123" t="s">
        <v>234</v>
      </c>
      <c r="C29" s="123" t="s">
        <v>83</v>
      </c>
      <c r="D29" s="124" t="s">
        <v>208</v>
      </c>
      <c r="E29" s="124" t="s">
        <v>101</v>
      </c>
      <c r="F29" s="124" t="s">
        <v>101</v>
      </c>
      <c r="G29" s="123" t="s">
        <v>64</v>
      </c>
      <c r="H29" s="125">
        <v>46127.0</v>
      </c>
      <c r="I29" s="124" t="s">
        <v>101</v>
      </c>
      <c r="J29" s="123" t="s">
        <v>64</v>
      </c>
      <c r="K29" s="125">
        <v>46130.0</v>
      </c>
      <c r="L29" s="122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ht="22.5" customHeight="1">
      <c r="A30" s="87"/>
      <c r="B30" s="33"/>
      <c r="C30" s="33"/>
      <c r="D30" s="124" t="s">
        <v>210</v>
      </c>
      <c r="E30" s="68" t="s">
        <v>88</v>
      </c>
      <c r="F30" s="68" t="s">
        <v>88</v>
      </c>
      <c r="G30" s="33"/>
      <c r="H30" s="33"/>
      <c r="I30" s="68" t="s">
        <v>88</v>
      </c>
      <c r="J30" s="33"/>
      <c r="K30" s="33"/>
      <c r="L30" s="129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ht="22.5" customHeight="1">
      <c r="A31" s="87"/>
      <c r="B31" s="33"/>
      <c r="C31" s="33"/>
      <c r="D31" s="124" t="s">
        <v>211</v>
      </c>
      <c r="E31" s="68" t="s">
        <v>90</v>
      </c>
      <c r="F31" s="68" t="s">
        <v>90</v>
      </c>
      <c r="G31" s="33"/>
      <c r="H31" s="33"/>
      <c r="I31" s="68" t="s">
        <v>90</v>
      </c>
      <c r="J31" s="33"/>
      <c r="K31" s="33"/>
      <c r="L31" s="129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ht="36.0" customHeight="1">
      <c r="A32" s="87"/>
      <c r="B32" s="33"/>
      <c r="C32" s="33"/>
      <c r="D32" s="124" t="s">
        <v>212</v>
      </c>
      <c r="E32" s="124" t="s">
        <v>213</v>
      </c>
      <c r="F32" s="124" t="s">
        <v>213</v>
      </c>
      <c r="G32" s="33"/>
      <c r="H32" s="33"/>
      <c r="I32" s="124" t="s">
        <v>213</v>
      </c>
      <c r="J32" s="33"/>
      <c r="K32" s="33"/>
      <c r="L32" s="129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ht="40.5" customHeight="1">
      <c r="A33" s="87"/>
      <c r="B33" s="34"/>
      <c r="C33" s="34"/>
      <c r="D33" s="124" t="s">
        <v>235</v>
      </c>
      <c r="E33" s="124" t="s">
        <v>228</v>
      </c>
      <c r="F33" s="124" t="s">
        <v>228</v>
      </c>
      <c r="G33" s="34"/>
      <c r="H33" s="34"/>
      <c r="I33" s="124" t="s">
        <v>228</v>
      </c>
      <c r="J33" s="34"/>
      <c r="K33" s="34"/>
      <c r="L33" s="129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ht="52.5" customHeight="1">
      <c r="A34" s="65" t="s">
        <v>236</v>
      </c>
      <c r="B34" s="81" t="s">
        <v>237</v>
      </c>
      <c r="C34" s="67" t="s">
        <v>83</v>
      </c>
      <c r="D34" s="124" t="s">
        <v>208</v>
      </c>
      <c r="E34" s="68" t="s">
        <v>231</v>
      </c>
      <c r="F34" s="68" t="s">
        <v>231</v>
      </c>
      <c r="G34" s="67" t="s">
        <v>64</v>
      </c>
      <c r="H34" s="69">
        <v>46127.0</v>
      </c>
      <c r="I34" s="68" t="s">
        <v>231</v>
      </c>
      <c r="J34" s="67" t="s">
        <v>64</v>
      </c>
      <c r="K34" s="69">
        <v>46130.0</v>
      </c>
      <c r="L34" s="84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ht="64.5" customHeight="1">
      <c r="A35" s="34"/>
      <c r="B35" s="83"/>
      <c r="C35" s="34"/>
      <c r="D35" s="68" t="s">
        <v>148</v>
      </c>
      <c r="E35" s="68" t="s">
        <v>232</v>
      </c>
      <c r="F35" s="68" t="s">
        <v>232</v>
      </c>
      <c r="G35" s="34"/>
      <c r="H35" s="34"/>
      <c r="I35" s="68" t="s">
        <v>232</v>
      </c>
      <c r="J35" s="34"/>
      <c r="K35" s="34"/>
      <c r="L35" s="34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ht="22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ht="22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ht="22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ht="22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ht="22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ht="22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ht="22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ht="22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ht="22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ht="22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ht="22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ht="22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ht="22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ht="22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ht="22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22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ht="22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ht="22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ht="22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ht="22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ht="22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ht="22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ht="22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ht="22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ht="22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ht="22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ht="22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ht="22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ht="22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ht="22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ht="22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ht="22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ht="22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ht="22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ht="22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ht="22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ht="22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ht="22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ht="22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ht="22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ht="22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ht="22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ht="22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ht="22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ht="22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ht="22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ht="22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ht="22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ht="22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ht="22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ht="22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ht="22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ht="22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ht="22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ht="22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ht="22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ht="22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ht="22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ht="22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ht="22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ht="22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ht="22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ht="22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ht="22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ht="22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ht="22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ht="22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ht="22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ht="22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ht="22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ht="22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ht="22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ht="22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ht="22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ht="22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ht="22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ht="22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ht="22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ht="22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ht="22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ht="22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ht="22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ht="22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ht="22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ht="22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ht="22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ht="22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ht="22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ht="22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ht="22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ht="22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ht="22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ht="22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ht="22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ht="22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ht="22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ht="22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ht="22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ht="22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ht="22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ht="22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ht="22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ht="22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ht="22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ht="22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ht="22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ht="22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ht="22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ht="22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ht="22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ht="22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ht="22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ht="22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ht="22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ht="22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ht="22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ht="22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ht="22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ht="22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ht="22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ht="22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ht="22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ht="22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ht="22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ht="22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ht="22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ht="22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ht="22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ht="22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ht="22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ht="22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ht="22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ht="22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ht="22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ht="22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ht="22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ht="22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ht="22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ht="22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ht="22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ht="22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ht="22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ht="22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ht="22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ht="22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ht="22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ht="22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ht="22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ht="22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ht="22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ht="22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ht="22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ht="22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ht="22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ht="22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ht="22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ht="22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ht="22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ht="22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ht="22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ht="22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ht="22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ht="22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ht="22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ht="22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ht="22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ht="22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ht="22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ht="22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ht="22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ht="22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ht="22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ht="22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ht="22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ht="22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ht="22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ht="22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ht="22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ht="22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ht="22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ht="22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ht="22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ht="22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ht="22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ht="22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ht="22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ht="22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ht="22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ht="22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ht="22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ht="22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ht="22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ht="22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ht="22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ht="22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ht="22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ht="22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ht="22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ht="22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ht="22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ht="22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ht="22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ht="22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ht="22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ht="22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ht="22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ht="22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ht="22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ht="22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ht="22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ht="22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ht="22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ht="22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ht="22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ht="22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ht="22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ht="22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ht="22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ht="22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ht="22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ht="22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ht="22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ht="22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ht="22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ht="22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ht="22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ht="22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ht="22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ht="22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ht="22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ht="22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ht="22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ht="22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ht="22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ht="22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ht="22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ht="22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ht="22.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ht="22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ht="22.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ht="22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ht="22.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ht="22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ht="22.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ht="22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ht="22.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ht="22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ht="22.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ht="22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ht="22.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ht="22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ht="22.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ht="22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ht="22.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ht="22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ht="22.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ht="22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ht="22.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ht="22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ht="22.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ht="22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ht="22.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ht="22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ht="22.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ht="22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ht="22.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ht="22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ht="22.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ht="22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ht="22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ht="22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ht="22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ht="22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ht="22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ht="22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ht="22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ht="22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ht="22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ht="22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ht="22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ht="22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ht="22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ht="22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ht="22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ht="22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ht="22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ht="22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ht="22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ht="22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ht="22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ht="22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ht="22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ht="22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ht="22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ht="22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ht="22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ht="22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ht="22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ht="22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ht="22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ht="22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ht="22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ht="22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ht="22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ht="22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ht="22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ht="22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ht="22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ht="22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ht="22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ht="22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ht="22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ht="22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ht="22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ht="22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ht="22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ht="22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ht="22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ht="22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ht="22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ht="22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ht="22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ht="22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ht="22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ht="22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ht="22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ht="22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ht="22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ht="22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ht="22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ht="22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ht="22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ht="22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ht="22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ht="22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ht="22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ht="22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ht="22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ht="22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ht="22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ht="22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ht="22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ht="22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ht="22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ht="22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ht="22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ht="22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ht="22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ht="22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ht="22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ht="22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ht="22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ht="22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ht="22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ht="22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ht="22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ht="22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ht="22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ht="22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ht="22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ht="22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ht="22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ht="22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ht="22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ht="22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ht="22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ht="22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ht="22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ht="22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ht="22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ht="22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ht="22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ht="22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ht="22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ht="22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ht="22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ht="22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ht="22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ht="22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ht="22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ht="22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ht="22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ht="22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ht="22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ht="22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ht="22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ht="22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ht="22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ht="22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ht="22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ht="22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ht="22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ht="22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ht="22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ht="22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ht="22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ht="22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ht="22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ht="22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ht="22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ht="22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ht="22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ht="22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ht="22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ht="22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ht="22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ht="22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ht="22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ht="22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ht="22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ht="22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ht="22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ht="22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ht="22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ht="22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ht="22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ht="22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ht="22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ht="22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ht="22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ht="22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ht="22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ht="22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ht="22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ht="22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ht="22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ht="22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ht="22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ht="22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ht="22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ht="22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ht="22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ht="22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ht="22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ht="22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ht="22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ht="22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ht="22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ht="22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ht="22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ht="22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ht="22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ht="22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ht="22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ht="22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ht="22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ht="22.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ht="22.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ht="22.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ht="22.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ht="22.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ht="22.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ht="22.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ht="22.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ht="22.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ht="22.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ht="22.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ht="22.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ht="22.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ht="22.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ht="22.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ht="22.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ht="22.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ht="22.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ht="22.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ht="22.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ht="22.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ht="22.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ht="22.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ht="22.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ht="22.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ht="22.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ht="22.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ht="22.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ht="22.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ht="22.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ht="22.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ht="22.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ht="22.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ht="22.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ht="22.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ht="22.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ht="22.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ht="22.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ht="22.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ht="22.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ht="22.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ht="22.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ht="22.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ht="22.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ht="22.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ht="22.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ht="22.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ht="22.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ht="22.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ht="22.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ht="22.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ht="22.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ht="22.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ht="22.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ht="22.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ht="22.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ht="22.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ht="22.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ht="22.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ht="22.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ht="22.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ht="22.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ht="22.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ht="22.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ht="22.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ht="22.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ht="22.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ht="22.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ht="22.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ht="22.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ht="22.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ht="22.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ht="22.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ht="22.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ht="22.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ht="22.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ht="22.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ht="22.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ht="22.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ht="22.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ht="22.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ht="22.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ht="22.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ht="22.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ht="22.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ht="22.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ht="22.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ht="22.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ht="22.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ht="22.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ht="22.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ht="22.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ht="22.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ht="22.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ht="22.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ht="22.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ht="22.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ht="22.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ht="22.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ht="22.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ht="22.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ht="22.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ht="22.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ht="22.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ht="22.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ht="22.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ht="22.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ht="22.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ht="22.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ht="22.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ht="22.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ht="22.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ht="22.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ht="22.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ht="22.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ht="22.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ht="22.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ht="22.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ht="22.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ht="22.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ht="22.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ht="22.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ht="22.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ht="22.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ht="22.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ht="22.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ht="22.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ht="22.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ht="22.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ht="22.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ht="22.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ht="22.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ht="22.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ht="22.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ht="22.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ht="22.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ht="22.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ht="22.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ht="22.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ht="22.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ht="22.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ht="22.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ht="22.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ht="22.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ht="22.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ht="22.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ht="22.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ht="22.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ht="22.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ht="22.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ht="22.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ht="22.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ht="22.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ht="22.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ht="22.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ht="22.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ht="22.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ht="22.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ht="22.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ht="22.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ht="22.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ht="22.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ht="22.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ht="22.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ht="22.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ht="22.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ht="22.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ht="22.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ht="22.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ht="22.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ht="22.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ht="22.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ht="22.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ht="22.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ht="22.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ht="22.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ht="22.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ht="22.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ht="22.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ht="22.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ht="22.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ht="22.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ht="22.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ht="22.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ht="22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ht="22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ht="22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ht="22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ht="22.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ht="22.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ht="22.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ht="22.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ht="22.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ht="22.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ht="22.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ht="22.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ht="22.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ht="22.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ht="22.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ht="22.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ht="22.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ht="22.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ht="22.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ht="22.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ht="22.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ht="22.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ht="22.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ht="22.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ht="22.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ht="22.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ht="22.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ht="22.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ht="22.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ht="22.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ht="22.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ht="22.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ht="22.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ht="22.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ht="22.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ht="22.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ht="22.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ht="22.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ht="22.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ht="22.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ht="22.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ht="22.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ht="22.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ht="22.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ht="22.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ht="22.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ht="22.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ht="22.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ht="22.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ht="22.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ht="22.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ht="22.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ht="22.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ht="22.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ht="22.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ht="22.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ht="22.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ht="22.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ht="22.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ht="22.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ht="22.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ht="22.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ht="22.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ht="22.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ht="22.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ht="22.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ht="22.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ht="22.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ht="22.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ht="22.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ht="22.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ht="22.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ht="22.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ht="22.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ht="22.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ht="22.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ht="22.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ht="22.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ht="22.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ht="22.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ht="22.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ht="22.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ht="22.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ht="22.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ht="22.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ht="22.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ht="22.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ht="22.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ht="22.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ht="22.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ht="22.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ht="22.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ht="22.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ht="22.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ht="22.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ht="22.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ht="22.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ht="22.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ht="22.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ht="22.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ht="22.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ht="22.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ht="22.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ht="22.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ht="22.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ht="22.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ht="22.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ht="22.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ht="22.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ht="22.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ht="22.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ht="22.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ht="22.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ht="22.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ht="22.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ht="22.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ht="22.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ht="22.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ht="22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ht="22.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ht="22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ht="22.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ht="22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ht="22.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ht="22.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ht="22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ht="22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ht="22.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ht="22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ht="22.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ht="22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ht="22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ht="22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ht="22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ht="22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ht="22.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ht="22.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ht="22.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ht="22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ht="22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ht="22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ht="22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ht="22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ht="22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ht="22.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ht="22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ht="22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ht="22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ht="22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ht="22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ht="22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ht="22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ht="22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ht="22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ht="22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ht="22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ht="22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ht="22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ht="22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ht="22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ht="22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ht="22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ht="22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ht="22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ht="22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ht="22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ht="22.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ht="22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ht="22.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ht="22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ht="22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ht="22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ht="22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ht="22.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ht="22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ht="22.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ht="22.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ht="22.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ht="22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ht="22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ht="22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ht="22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ht="22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ht="22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ht="22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ht="22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ht="22.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ht="22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ht="22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ht="22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ht="22.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ht="22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ht="22.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ht="22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ht="22.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ht="22.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ht="22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ht="22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ht="22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ht="22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ht="22.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ht="22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ht="22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ht="22.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ht="22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ht="22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ht="22.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ht="22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ht="22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ht="22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ht="22.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ht="22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ht="22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ht="22.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ht="22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ht="22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ht="22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ht="22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ht="22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ht="22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ht="22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ht="22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ht="22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ht="22.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ht="22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ht="22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ht="22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ht="22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ht="22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ht="22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ht="22.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ht="22.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ht="22.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ht="22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ht="22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ht="22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ht="22.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ht="22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ht="22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ht="22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ht="22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ht="22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ht="22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ht="22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ht="22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ht="22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ht="22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ht="22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ht="22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ht="22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ht="22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ht="22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ht="22.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ht="22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ht="22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ht="22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ht="22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ht="22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ht="22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ht="22.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ht="22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ht="22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ht="22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ht="22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ht="22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ht="22.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ht="22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ht="22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ht="22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ht="22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ht="22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ht="22.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ht="22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ht="22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ht="22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ht="22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ht="22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ht="22.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ht="22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ht="22.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ht="22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ht="22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ht="22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ht="22.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ht="22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ht="22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ht="22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ht="22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ht="22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ht="22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ht="22.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ht="22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ht="22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ht="22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ht="22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ht="22.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ht="22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ht="22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ht="22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ht="22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ht="22.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ht="22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ht="22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ht="22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ht="22.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ht="22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ht="22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ht="22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ht="22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ht="22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ht="22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ht="22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ht="22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ht="22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ht="22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ht="22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ht="22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ht="22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ht="22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ht="22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ht="22.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ht="22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ht="22.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ht="22.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 ht="22.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 ht="22.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 ht="22.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 ht="22.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 ht="22.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 ht="22.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</sheetData>
  <mergeCells count="50">
    <mergeCell ref="B26:B27"/>
    <mergeCell ref="C26:C27"/>
    <mergeCell ref="G26:G27"/>
    <mergeCell ref="H26:H27"/>
    <mergeCell ref="J26:J27"/>
    <mergeCell ref="K26:K27"/>
    <mergeCell ref="L26:L27"/>
    <mergeCell ref="A26:A27"/>
    <mergeCell ref="A29:A33"/>
    <mergeCell ref="B29:B33"/>
    <mergeCell ref="C29:C33"/>
    <mergeCell ref="G29:G33"/>
    <mergeCell ref="H29:H33"/>
    <mergeCell ref="J29:J33"/>
    <mergeCell ref="J9:J13"/>
    <mergeCell ref="K9:K13"/>
    <mergeCell ref="L9:L13"/>
    <mergeCell ref="B1:B2"/>
    <mergeCell ref="B4:B5"/>
    <mergeCell ref="A9:A13"/>
    <mergeCell ref="B9:B13"/>
    <mergeCell ref="C9:C13"/>
    <mergeCell ref="G9:G13"/>
    <mergeCell ref="H9:H13"/>
    <mergeCell ref="B15:B19"/>
    <mergeCell ref="C15:C19"/>
    <mergeCell ref="G15:G19"/>
    <mergeCell ref="H15:H19"/>
    <mergeCell ref="J15:J19"/>
    <mergeCell ref="K15:K19"/>
    <mergeCell ref="L15:L19"/>
    <mergeCell ref="K21:K25"/>
    <mergeCell ref="L21:L25"/>
    <mergeCell ref="A15:A19"/>
    <mergeCell ref="A21:A25"/>
    <mergeCell ref="B21:B25"/>
    <mergeCell ref="C21:C25"/>
    <mergeCell ref="G21:G25"/>
    <mergeCell ref="H21:H25"/>
    <mergeCell ref="J21:J25"/>
    <mergeCell ref="K29:K33"/>
    <mergeCell ref="L29:L33"/>
    <mergeCell ref="A34:A35"/>
    <mergeCell ref="B34:B35"/>
    <mergeCell ref="C34:C35"/>
    <mergeCell ref="G34:G35"/>
    <mergeCell ref="H34:H35"/>
    <mergeCell ref="J34:J35"/>
    <mergeCell ref="K34:K35"/>
    <mergeCell ref="L34:L35"/>
  </mergeCells>
  <dataValidations>
    <dataValidation type="list" allowBlank="1" sqref="G9 J9 G15 J15 G21 J21 G26 J26 G29 J29 G34 J34">
      <formula1>"Pass,Fail,Untested"</formula1>
    </dataValidation>
    <dataValidation type="list" allowBlank="1" showInputMessage="1" showErrorMessage="1" prompt=" - " sqref="L4:L5">
      <formula1>"Fatal,Major,Minor,Cosmetic"</formula1>
    </dataValidation>
    <dataValidation type="list" allowBlank="1" showInputMessage="1" showErrorMessage="1" prompt=" - " sqref="L9 L15 L21 L26 L29 L34">
      <formula1>"Critical,Major,Minor,Cosmetic"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17.75"/>
    <col customWidth="1" min="3" max="3" width="28.13"/>
    <col customWidth="1" min="4" max="4" width="30.5"/>
    <col customWidth="1" min="5" max="5" width="17.13"/>
    <col customWidth="1" min="6" max="6" width="16.5"/>
    <col customWidth="1" min="7" max="7" width="20.75"/>
    <col customWidth="1" min="8" max="8" width="11.5"/>
    <col customWidth="1" min="9" max="26" width="8.0"/>
  </cols>
  <sheetData>
    <row r="1" ht="15.0" customHeight="1">
      <c r="A1" s="93" t="s">
        <v>17</v>
      </c>
      <c r="B1" s="94"/>
      <c r="C1" s="94"/>
      <c r="D1" s="94"/>
      <c r="E1" s="94"/>
      <c r="F1" s="94"/>
      <c r="G1" s="95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36.75" customHeight="1">
      <c r="A2" s="97" t="s">
        <v>238</v>
      </c>
      <c r="B2" s="20"/>
      <c r="C2" s="20"/>
      <c r="D2" s="20"/>
      <c r="E2" s="20"/>
      <c r="F2" s="20"/>
      <c r="G2" s="8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3.5" customHeight="1">
      <c r="A3" s="98"/>
      <c r="B3" s="99"/>
      <c r="C3" s="99"/>
      <c r="D3" s="99"/>
      <c r="E3" s="98"/>
      <c r="F3" s="99"/>
      <c r="G3" s="98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25.5" customHeight="1">
      <c r="A4" s="100" t="s">
        <v>19</v>
      </c>
      <c r="B4" s="101" t="s">
        <v>20</v>
      </c>
      <c r="C4" s="8"/>
      <c r="D4" s="100" t="s">
        <v>21</v>
      </c>
      <c r="E4" s="102" t="s">
        <v>160</v>
      </c>
      <c r="F4" s="100" t="s">
        <v>23</v>
      </c>
      <c r="G4" s="100" t="s">
        <v>24</v>
      </c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2.75" customHeight="1">
      <c r="A5" s="103" t="s">
        <v>239</v>
      </c>
      <c r="B5" s="20"/>
      <c r="C5" s="20"/>
      <c r="D5" s="20"/>
      <c r="E5" s="20"/>
      <c r="F5" s="20"/>
      <c r="G5" s="8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2.75" customHeight="1">
      <c r="A6" s="104" t="s">
        <v>240</v>
      </c>
      <c r="B6" s="20"/>
      <c r="C6" s="20"/>
      <c r="D6" s="20"/>
      <c r="E6" s="20"/>
      <c r="F6" s="20"/>
      <c r="G6" s="8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2.75" customHeight="1">
      <c r="A7" s="104" t="s">
        <v>27</v>
      </c>
      <c r="B7" s="20"/>
      <c r="C7" s="20"/>
      <c r="D7" s="20"/>
      <c r="E7" s="20"/>
      <c r="F7" s="20"/>
      <c r="G7" s="8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3.5" customHeight="1">
      <c r="A8" s="105"/>
      <c r="B8" s="20"/>
      <c r="C8" s="20"/>
      <c r="D8" s="20"/>
      <c r="E8" s="20"/>
      <c r="F8" s="20"/>
      <c r="G8" s="8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2.75" customHeight="1">
      <c r="A9" s="106">
        <v>1.0</v>
      </c>
      <c r="B9" s="130" t="s">
        <v>241</v>
      </c>
      <c r="C9" s="8"/>
      <c r="D9" s="108" t="s">
        <v>242</v>
      </c>
      <c r="E9" s="109"/>
      <c r="F9" s="110"/>
      <c r="G9" s="111" t="s">
        <v>30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2.75" customHeight="1">
      <c r="A10" s="103" t="s">
        <v>243</v>
      </c>
      <c r="B10" s="20"/>
      <c r="C10" s="20"/>
      <c r="D10" s="20"/>
      <c r="E10" s="20"/>
      <c r="F10" s="20"/>
      <c r="G10" s="8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2.75" customHeight="1">
      <c r="A11" s="104" t="s">
        <v>244</v>
      </c>
      <c r="B11" s="20"/>
      <c r="C11" s="20"/>
      <c r="D11" s="20"/>
      <c r="E11" s="20"/>
      <c r="F11" s="20"/>
      <c r="G11" s="8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2.75" customHeight="1">
      <c r="A12" s="104" t="s">
        <v>27</v>
      </c>
      <c r="B12" s="20"/>
      <c r="C12" s="20"/>
      <c r="D12" s="20"/>
      <c r="E12" s="20"/>
      <c r="F12" s="20"/>
      <c r="G12" s="8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3.5" customHeight="1">
      <c r="A13" s="105"/>
      <c r="B13" s="20"/>
      <c r="C13" s="20"/>
      <c r="D13" s="20"/>
      <c r="E13" s="20"/>
      <c r="F13" s="20"/>
      <c r="G13" s="8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2.75" customHeight="1">
      <c r="A14" s="106">
        <v>1.0</v>
      </c>
      <c r="B14" s="130" t="s">
        <v>48</v>
      </c>
      <c r="C14" s="8"/>
      <c r="D14" s="108" t="s">
        <v>242</v>
      </c>
      <c r="E14" s="109"/>
      <c r="F14" s="110"/>
      <c r="G14" s="111" t="s">
        <v>30</v>
      </c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2.75" customHeight="1">
      <c r="A15" s="103" t="s">
        <v>245</v>
      </c>
      <c r="B15" s="20"/>
      <c r="C15" s="20"/>
      <c r="D15" s="20"/>
      <c r="E15" s="20"/>
      <c r="F15" s="20"/>
      <c r="G15" s="8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2.75" customHeight="1">
      <c r="A16" s="104" t="s">
        <v>244</v>
      </c>
      <c r="B16" s="20"/>
      <c r="C16" s="20"/>
      <c r="D16" s="20"/>
      <c r="E16" s="20"/>
      <c r="F16" s="20"/>
      <c r="G16" s="8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2.75" customHeight="1">
      <c r="A17" s="104" t="s">
        <v>27</v>
      </c>
      <c r="B17" s="20"/>
      <c r="C17" s="20"/>
      <c r="D17" s="20"/>
      <c r="E17" s="20"/>
      <c r="F17" s="20"/>
      <c r="G17" s="8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3.5" customHeight="1">
      <c r="A18" s="105"/>
      <c r="B18" s="20"/>
      <c r="C18" s="20"/>
      <c r="D18" s="20"/>
      <c r="E18" s="20"/>
      <c r="F18" s="20"/>
      <c r="G18" s="8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2.75" customHeight="1">
      <c r="A19" s="106">
        <v>1.0</v>
      </c>
      <c r="B19" s="130" t="s">
        <v>48</v>
      </c>
      <c r="C19" s="8"/>
      <c r="D19" s="108" t="s">
        <v>246</v>
      </c>
      <c r="E19" s="109"/>
      <c r="F19" s="110"/>
      <c r="G19" s="111" t="s">
        <v>30</v>
      </c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2.75" customHeight="1">
      <c r="A20" s="103" t="s">
        <v>247</v>
      </c>
      <c r="B20" s="20"/>
      <c r="C20" s="20"/>
      <c r="D20" s="20"/>
      <c r="E20" s="20"/>
      <c r="F20" s="20"/>
      <c r="G20" s="8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2.75" customHeight="1">
      <c r="A21" s="104" t="s">
        <v>240</v>
      </c>
      <c r="B21" s="20"/>
      <c r="C21" s="20"/>
      <c r="D21" s="20"/>
      <c r="E21" s="20"/>
      <c r="F21" s="20"/>
      <c r="G21" s="8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2.75" customHeight="1">
      <c r="A22" s="104" t="s">
        <v>27</v>
      </c>
      <c r="B22" s="20"/>
      <c r="C22" s="20"/>
      <c r="D22" s="20"/>
      <c r="E22" s="20"/>
      <c r="F22" s="20"/>
      <c r="G22" s="8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3.5" customHeight="1">
      <c r="A23" s="105"/>
      <c r="B23" s="20"/>
      <c r="C23" s="20"/>
      <c r="D23" s="20"/>
      <c r="E23" s="20"/>
      <c r="F23" s="20"/>
      <c r="G23" s="8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2.75" customHeight="1">
      <c r="A24" s="106">
        <v>1.0</v>
      </c>
      <c r="B24" s="130" t="s">
        <v>248</v>
      </c>
      <c r="C24" s="8"/>
      <c r="D24" s="108" t="s">
        <v>246</v>
      </c>
      <c r="E24" s="109"/>
      <c r="F24" s="110"/>
      <c r="G24" s="111" t="s">
        <v>30</v>
      </c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2.75" customHeight="1">
      <c r="A25" s="103" t="s">
        <v>249</v>
      </c>
      <c r="B25" s="20"/>
      <c r="C25" s="20"/>
      <c r="D25" s="20"/>
      <c r="E25" s="20"/>
      <c r="F25" s="20"/>
      <c r="G25" s="8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2.75" customHeight="1">
      <c r="A26" s="104" t="s">
        <v>250</v>
      </c>
      <c r="B26" s="20"/>
      <c r="C26" s="20"/>
      <c r="D26" s="20"/>
      <c r="E26" s="20"/>
      <c r="F26" s="20"/>
      <c r="G26" s="8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2.75" customHeight="1">
      <c r="A27" s="104" t="s">
        <v>27</v>
      </c>
      <c r="B27" s="20"/>
      <c r="C27" s="20"/>
      <c r="D27" s="20"/>
      <c r="E27" s="20"/>
      <c r="F27" s="20"/>
      <c r="G27" s="8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3.5" customHeight="1">
      <c r="A28" s="105"/>
      <c r="B28" s="20"/>
      <c r="C28" s="20"/>
      <c r="D28" s="20"/>
      <c r="E28" s="20"/>
      <c r="F28" s="20"/>
      <c r="G28" s="8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2.75" customHeight="1">
      <c r="A29" s="106">
        <v>1.0</v>
      </c>
      <c r="B29" s="131" t="s">
        <v>251</v>
      </c>
      <c r="C29" s="8"/>
      <c r="D29" s="108" t="s">
        <v>252</v>
      </c>
      <c r="E29" s="109"/>
      <c r="F29" s="110"/>
      <c r="G29" s="111" t="s">
        <v>30</v>
      </c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2.75" customHeight="1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2.75" customHeight="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2.75" customHeigh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2.7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2.75" customHeigh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2.75" customHeight="1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2.75" customHeigh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2.75" customHeigh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2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2.7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2.7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2.7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2.7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2.7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2.7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2.7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2.7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2.7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2.7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2.7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2.7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2.7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2.7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2.7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2.7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2.7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2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2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2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2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2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2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2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2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2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2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2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2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2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2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2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2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2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2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2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2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2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2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2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2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2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2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2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2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2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2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2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2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2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2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2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2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2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2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2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2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2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2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2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2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2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2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2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2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2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2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2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2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2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2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2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2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2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2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2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2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2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2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2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2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2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2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2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2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2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2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2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2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2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2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2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2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2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2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2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2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2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2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2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2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2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2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2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2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2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2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2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2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2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2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2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2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2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2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2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2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2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2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2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2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2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2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2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2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2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2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2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2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2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2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2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2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2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2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2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2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2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2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2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2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2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2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2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2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2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2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2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2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2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2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2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2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2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2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2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2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2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2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2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2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2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2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2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2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2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2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2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2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2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2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2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2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2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2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2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2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2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2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2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2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2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2.7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2.7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2.7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2.7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2.7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2.7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2.7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2.7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2.7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2.7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2.7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2.7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2.7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2.7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2.7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2.7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2.7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2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2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2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2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2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2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2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2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2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2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2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2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2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2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2.7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2.7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2.7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2.7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2.7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2.7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2.7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2.7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2.7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2.7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2.7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2.7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2.7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2.7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2.7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2.7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2.7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2.7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2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2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2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2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2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2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2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2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2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2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2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2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2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2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2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2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2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2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2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2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2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2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2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2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2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2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2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2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2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2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2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2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2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2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2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2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2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2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2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2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2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2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2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2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2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2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2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2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2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2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2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2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2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2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2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2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2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2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2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2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2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2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2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2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2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2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2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2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2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2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2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2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2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2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2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2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2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2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2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2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2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2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2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2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2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2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2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2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2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2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2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2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2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2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2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2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2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2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2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2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2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2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2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2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2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2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2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2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2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2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2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2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2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2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2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2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2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2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2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2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2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2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2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2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2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2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2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2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2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2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2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2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2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2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2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2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2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2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2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2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2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2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2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2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2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2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2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2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2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2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2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2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2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2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2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2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2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2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2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2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2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2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2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2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2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2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2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2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2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2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2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2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2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2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2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2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2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2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2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2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2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2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2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2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2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2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2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2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2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2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2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2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2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2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2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2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2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2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2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2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2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2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2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2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2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2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2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2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2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2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2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2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2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2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2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2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2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2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2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2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2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2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2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2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2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2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2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2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2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2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2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2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2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2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2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2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2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2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2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2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2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2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2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2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2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2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2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2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2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2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2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2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2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2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2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2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2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2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2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2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2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2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2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2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2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2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2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2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2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2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2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2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2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2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2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2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2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2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2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2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2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2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2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2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2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2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2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2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2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2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2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2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2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2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2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2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2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2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2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2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2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2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2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2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2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2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2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2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2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2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2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2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2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2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2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2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2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2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2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2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2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2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2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2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2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2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2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2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2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2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2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2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2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2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2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2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2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2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2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2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2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2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2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2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2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2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2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2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2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2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2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2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2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2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2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2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2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2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2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2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2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2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2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2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2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2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2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2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2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2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2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2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2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2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2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2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2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2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2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2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2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2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2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2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2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2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2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2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2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2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2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2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2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2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2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2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2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2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2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2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2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2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2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2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2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2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2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2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2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2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2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2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2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2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2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2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2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2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2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2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2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2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2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2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2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2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2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2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2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2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2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2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2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2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2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2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2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2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2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2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2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2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2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2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2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2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2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2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2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2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2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2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2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2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2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2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2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2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2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2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2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2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2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2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2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2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2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2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2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2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2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2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2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2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2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2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2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2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2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2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2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2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2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2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2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2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2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2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2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2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2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2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2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2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2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2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2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2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2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2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2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2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2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2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2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2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2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2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2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2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2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2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2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2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2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2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2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2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2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2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2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2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2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2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2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2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2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2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2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2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2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2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2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2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2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2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2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2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2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2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2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2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2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2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2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2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2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2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2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2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2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2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2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2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2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2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2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2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2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2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2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2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2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2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2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2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2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2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2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2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2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2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2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2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2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2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2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2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2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2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2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2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2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2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2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2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2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2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2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2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2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2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2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2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2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2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2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2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2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2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2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2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2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2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2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2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2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2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2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2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2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2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2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2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2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2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2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2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2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2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2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2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2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2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2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2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2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2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2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2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2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2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2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2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2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2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2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2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2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2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2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2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2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2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2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2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2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2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2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2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2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2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2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2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2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2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2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2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2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2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2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2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2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2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2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2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2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2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2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2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2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2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2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2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2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2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2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2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2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2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2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2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2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2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2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2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2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2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2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2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2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ht="12.7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ht="12.7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ht="12.7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ht="12.7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ht="12.7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ht="12.7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ht="12.7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ht="12.7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ht="12.7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ht="12.7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ht="12.7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ht="12.7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ht="12.7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ht="12.7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ht="12.7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ht="12.7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ht="12.7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ht="12.7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ht="12.7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ht="12.7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</sheetData>
  <mergeCells count="28">
    <mergeCell ref="A1:G1"/>
    <mergeCell ref="A2:G2"/>
    <mergeCell ref="B4:C4"/>
    <mergeCell ref="A5:G5"/>
    <mergeCell ref="A6:G6"/>
    <mergeCell ref="A7:G7"/>
    <mergeCell ref="A8:G8"/>
    <mergeCell ref="B9:C9"/>
    <mergeCell ref="A10:G10"/>
    <mergeCell ref="A11:G11"/>
    <mergeCell ref="A12:G12"/>
    <mergeCell ref="A13:G13"/>
    <mergeCell ref="B14:C14"/>
    <mergeCell ref="A15:G15"/>
    <mergeCell ref="A23:G23"/>
    <mergeCell ref="B24:C24"/>
    <mergeCell ref="A25:G25"/>
    <mergeCell ref="A26:G26"/>
    <mergeCell ref="A27:G27"/>
    <mergeCell ref="A28:G28"/>
    <mergeCell ref="B29:C29"/>
    <mergeCell ref="A16:G16"/>
    <mergeCell ref="A17:G17"/>
    <mergeCell ref="A18:G18"/>
    <mergeCell ref="B19:C19"/>
    <mergeCell ref="A20:G20"/>
    <mergeCell ref="A21:G21"/>
    <mergeCell ref="A22:G22"/>
  </mergeCells>
  <dataValidations>
    <dataValidation type="list" allowBlank="1" sqref="G9 G14 G19 G24 G29">
      <formula1>"Developing,Tested"</formula1>
    </dataValidation>
  </dataValidations>
  <hyperlinks>
    <hyperlink display="Scenario 1:  Tìm kiếm theo Mã sản phẩm hợp lệ" location="'FUNC TC_TÌM KIẾM SẢN PHẨM'!A8:B8" ref="A5"/>
    <hyperlink display="Scenario 2:  Tìm kiếm theo Tên sản phẩm hợp lệ" location="'FUNC TC_TÌM KIẾM SẢN PHẨM'!A11:B11" ref="A10"/>
    <hyperlink display="Scenario 3: Từ khóa hợp lệ nhưng khác định dạng hoa/thường so với dữ liệu gốc khi tìm kiếm Tên sản phẩm" location="'FUNC TC_TÌM KIẾM SẢN PHẨM'!A14:D14" ref="A15"/>
    <hyperlink display="Scenario 4: Từ khóa hợp lệ nhưng khác định dạng hoa/thường so với dữ liệu gốc khi tìm kiếm Mã sản phẩm" location="'FUNC TC_TÌM KIẾM SẢN PHẨM'!A16:D16" ref="A20"/>
    <hyperlink display="Scenario 5: Tìm kiếm với từ khóa không tồn tại trong danh sách sản phẩm" location="'FUNC TC_TÌM KIẾM SẢN PHẨM'!A18:B18" ref="A25"/>
  </hyperlink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8.25"/>
    <col customWidth="1" min="3" max="3" width="27.38"/>
    <col customWidth="1" min="4" max="4" width="31.13"/>
    <col customWidth="1" min="5" max="5" width="28.63"/>
    <col customWidth="1" min="6" max="6" width="22.63"/>
  </cols>
  <sheetData>
    <row r="1">
      <c r="A1" s="132"/>
      <c r="B1" s="133" t="s">
        <v>63</v>
      </c>
      <c r="C1" s="134" t="s">
        <v>64</v>
      </c>
      <c r="D1" s="134" t="s">
        <v>65</v>
      </c>
      <c r="E1" s="134" t="s">
        <v>66</v>
      </c>
      <c r="F1" s="134" t="s">
        <v>67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</row>
    <row r="2">
      <c r="A2" s="132"/>
      <c r="B2" s="53"/>
      <c r="C2" s="135">
        <f>COUNTIF(G1:G231,"Pass")</f>
        <v>6</v>
      </c>
      <c r="D2" s="135">
        <f>COUNTIF(G1:G231,"Fail")</f>
        <v>1</v>
      </c>
      <c r="E2" s="135">
        <f>COUNTIF(G1:G231,"Untested")</f>
        <v>0</v>
      </c>
      <c r="F2" s="135">
        <f>SUM(C2,D2,E2)</f>
        <v>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</row>
    <row r="3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</row>
    <row r="4">
      <c r="A4" s="132"/>
      <c r="B4" s="114" t="s">
        <v>171</v>
      </c>
      <c r="C4" s="134" t="s">
        <v>64</v>
      </c>
      <c r="D4" s="134" t="s">
        <v>65</v>
      </c>
      <c r="E4" s="134" t="s">
        <v>66</v>
      </c>
      <c r="F4" s="134" t="s">
        <v>67</v>
      </c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</row>
    <row r="5">
      <c r="A5" s="132"/>
      <c r="B5" s="58"/>
      <c r="C5" s="135">
        <f>COUNTIF(J4:J234,"Pass")</f>
        <v>7</v>
      </c>
      <c r="D5" s="135">
        <f>COUNTIF(J4:J234,"Fail")</f>
        <v>0</v>
      </c>
      <c r="E5" s="135">
        <f>COUNTIF(J4:J234,"Untested")</f>
        <v>0</v>
      </c>
      <c r="F5" s="135">
        <f>SUM(C5,D5,E5)</f>
        <v>7</v>
      </c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</row>
    <row r="6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</row>
    <row r="7">
      <c r="A7" s="136" t="s">
        <v>69</v>
      </c>
      <c r="B7" s="136" t="s">
        <v>70</v>
      </c>
      <c r="C7" s="136" t="s">
        <v>71</v>
      </c>
      <c r="D7" s="136" t="s">
        <v>72</v>
      </c>
      <c r="E7" s="136" t="s">
        <v>73</v>
      </c>
      <c r="F7" s="136" t="s">
        <v>74</v>
      </c>
      <c r="G7" s="136" t="s">
        <v>75</v>
      </c>
      <c r="H7" s="136" t="s">
        <v>76</v>
      </c>
      <c r="I7" s="137" t="s">
        <v>253</v>
      </c>
      <c r="J7" s="136" t="s">
        <v>78</v>
      </c>
      <c r="K7" s="136" t="s">
        <v>79</v>
      </c>
      <c r="L7" s="136" t="s">
        <v>80</v>
      </c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</row>
    <row r="8">
      <c r="A8" s="138" t="s">
        <v>81</v>
      </c>
      <c r="B8" s="139" t="s">
        <v>254</v>
      </c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</row>
    <row r="9">
      <c r="A9" s="141" t="s">
        <v>255</v>
      </c>
      <c r="B9" s="142" t="s">
        <v>256</v>
      </c>
      <c r="C9" s="142" t="s">
        <v>146</v>
      </c>
      <c r="D9" s="142" t="s">
        <v>257</v>
      </c>
      <c r="E9" s="142" t="s">
        <v>258</v>
      </c>
      <c r="F9" s="142" t="s">
        <v>258</v>
      </c>
      <c r="G9" s="143" t="s">
        <v>64</v>
      </c>
      <c r="H9" s="144">
        <v>46127.0</v>
      </c>
      <c r="I9" s="142" t="s">
        <v>258</v>
      </c>
      <c r="J9" s="49" t="s">
        <v>64</v>
      </c>
      <c r="K9" s="144">
        <v>46130.0</v>
      </c>
      <c r="L9" s="145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</row>
    <row r="10">
      <c r="A10" s="141" t="s">
        <v>259</v>
      </c>
      <c r="B10" s="142" t="s">
        <v>260</v>
      </c>
      <c r="C10" s="142" t="s">
        <v>146</v>
      </c>
      <c r="D10" s="142" t="s">
        <v>261</v>
      </c>
      <c r="E10" s="142" t="s">
        <v>262</v>
      </c>
      <c r="F10" s="142" t="s">
        <v>263</v>
      </c>
      <c r="G10" s="143" t="s">
        <v>64</v>
      </c>
      <c r="H10" s="144">
        <v>46127.0</v>
      </c>
      <c r="I10" s="142" t="s">
        <v>263</v>
      </c>
      <c r="J10" s="49" t="s">
        <v>64</v>
      </c>
      <c r="K10" s="144">
        <v>46130.0</v>
      </c>
      <c r="L10" s="145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</row>
    <row r="11">
      <c r="A11" s="138" t="s">
        <v>97</v>
      </c>
      <c r="B11" s="138" t="s">
        <v>264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</row>
    <row r="12">
      <c r="A12" s="142" t="s">
        <v>265</v>
      </c>
      <c r="B12" s="142" t="s">
        <v>266</v>
      </c>
      <c r="C12" s="142" t="s">
        <v>146</v>
      </c>
      <c r="D12" s="142" t="s">
        <v>267</v>
      </c>
      <c r="E12" s="142" t="s">
        <v>268</v>
      </c>
      <c r="F12" s="142" t="s">
        <v>268</v>
      </c>
      <c r="G12" s="143" t="s">
        <v>64</v>
      </c>
      <c r="H12" s="144">
        <v>46127.0</v>
      </c>
      <c r="I12" s="142" t="s">
        <v>268</v>
      </c>
      <c r="J12" s="49" t="s">
        <v>64</v>
      </c>
      <c r="K12" s="144">
        <v>46130.0</v>
      </c>
      <c r="L12" s="145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</row>
    <row r="13">
      <c r="A13" s="142" t="s">
        <v>269</v>
      </c>
      <c r="B13" s="142" t="s">
        <v>270</v>
      </c>
      <c r="C13" s="142" t="s">
        <v>146</v>
      </c>
      <c r="D13" s="142" t="s">
        <v>271</v>
      </c>
      <c r="E13" s="143" t="s">
        <v>272</v>
      </c>
      <c r="F13" s="143" t="s">
        <v>272</v>
      </c>
      <c r="G13" s="143" t="s">
        <v>64</v>
      </c>
      <c r="H13" s="144">
        <v>46127.0</v>
      </c>
      <c r="I13" s="143" t="s">
        <v>272</v>
      </c>
      <c r="J13" s="49" t="s">
        <v>64</v>
      </c>
      <c r="K13" s="144">
        <v>46130.0</v>
      </c>
      <c r="L13" s="145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</row>
    <row r="14">
      <c r="A14" s="138" t="s">
        <v>109</v>
      </c>
      <c r="B14" s="146" t="s">
        <v>273</v>
      </c>
      <c r="C14" s="20"/>
      <c r="D14" s="8"/>
      <c r="E14" s="140"/>
      <c r="F14" s="140"/>
      <c r="G14" s="140"/>
      <c r="H14" s="140"/>
      <c r="I14" s="140"/>
      <c r="J14" s="140"/>
      <c r="K14" s="140"/>
      <c r="L14" s="140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</row>
    <row r="15" ht="63.75" customHeight="1">
      <c r="A15" s="142" t="s">
        <v>274</v>
      </c>
      <c r="B15" s="142" t="s">
        <v>273</v>
      </c>
      <c r="C15" s="142" t="s">
        <v>146</v>
      </c>
      <c r="D15" s="142" t="s">
        <v>275</v>
      </c>
      <c r="E15" s="142" t="s">
        <v>276</v>
      </c>
      <c r="F15" s="142" t="s">
        <v>277</v>
      </c>
      <c r="G15" s="142" t="s">
        <v>65</v>
      </c>
      <c r="H15" s="144">
        <v>46127.0</v>
      </c>
      <c r="I15" s="142" t="s">
        <v>276</v>
      </c>
      <c r="J15" s="49" t="s">
        <v>64</v>
      </c>
      <c r="K15" s="144">
        <v>46130.0</v>
      </c>
      <c r="L15" s="147" t="s">
        <v>86</v>
      </c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</row>
    <row r="16" ht="36.0" customHeight="1">
      <c r="A16" s="139" t="s">
        <v>118</v>
      </c>
      <c r="B16" s="146" t="s">
        <v>278</v>
      </c>
      <c r="C16" s="20"/>
      <c r="D16" s="8"/>
      <c r="E16" s="140"/>
      <c r="F16" s="140"/>
      <c r="G16" s="140"/>
      <c r="H16" s="140"/>
      <c r="I16" s="140"/>
      <c r="J16" s="140"/>
      <c r="K16" s="140"/>
      <c r="L16" s="140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</row>
    <row r="17" ht="67.5" customHeight="1">
      <c r="A17" s="142" t="s">
        <v>279</v>
      </c>
      <c r="B17" s="142" t="s">
        <v>278</v>
      </c>
      <c r="C17" s="142" t="s">
        <v>146</v>
      </c>
      <c r="D17" s="142" t="s">
        <v>280</v>
      </c>
      <c r="E17" s="142" t="s">
        <v>281</v>
      </c>
      <c r="F17" s="142" t="s">
        <v>282</v>
      </c>
      <c r="G17" s="142" t="s">
        <v>64</v>
      </c>
      <c r="H17" s="144">
        <v>46127.0</v>
      </c>
      <c r="I17" s="142" t="s">
        <v>282</v>
      </c>
      <c r="J17" s="49" t="s">
        <v>64</v>
      </c>
      <c r="K17" s="144">
        <v>46130.0</v>
      </c>
      <c r="L17" s="145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</row>
    <row r="18">
      <c r="A18" s="139" t="s">
        <v>126</v>
      </c>
      <c r="B18" s="139" t="s">
        <v>283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</row>
    <row r="19" ht="48.0" customHeight="1">
      <c r="A19" s="142" t="s">
        <v>284</v>
      </c>
      <c r="B19" s="143" t="s">
        <v>251</v>
      </c>
      <c r="C19" s="142" t="s">
        <v>83</v>
      </c>
      <c r="D19" s="142" t="s">
        <v>285</v>
      </c>
      <c r="E19" s="142" t="s">
        <v>277</v>
      </c>
      <c r="F19" s="142" t="s">
        <v>277</v>
      </c>
      <c r="G19" s="142" t="s">
        <v>64</v>
      </c>
      <c r="H19" s="148">
        <v>46127.0</v>
      </c>
      <c r="I19" s="142" t="s">
        <v>277</v>
      </c>
      <c r="J19" s="49" t="s">
        <v>64</v>
      </c>
      <c r="K19" s="148">
        <v>46130.0</v>
      </c>
      <c r="L19" s="149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</row>
    <row r="20">
      <c r="A20" s="132"/>
      <c r="B20" s="132"/>
      <c r="C20" s="132"/>
      <c r="D20" s="150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</row>
    <row r="21">
      <c r="A21" s="132"/>
      <c r="B21" s="132"/>
      <c r="C21" s="132"/>
      <c r="D21" s="150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</row>
    <row r="22">
      <c r="A22" s="132"/>
      <c r="B22" s="132"/>
      <c r="C22" s="132"/>
      <c r="D22" s="150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</row>
    <row r="23">
      <c r="A23" s="132"/>
      <c r="B23" s="132"/>
      <c r="C23" s="132"/>
      <c r="D23" s="150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</row>
    <row r="24">
      <c r="A24" s="132"/>
      <c r="B24" s="132"/>
      <c r="C24" s="132"/>
      <c r="D24" s="150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</row>
    <row r="25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</row>
    <row r="26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</row>
    <row r="27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</row>
    <row r="28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</row>
    <row r="29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</row>
    <row r="30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</row>
    <row r="31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</row>
    <row r="32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</row>
    <row r="33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</row>
    <row r="34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</row>
    <row r="35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</row>
    <row r="36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</row>
    <row r="37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</row>
    <row r="38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</row>
    <row r="39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</row>
    <row r="40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</row>
    <row r="41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</row>
    <row r="4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</row>
    <row r="43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</row>
    <row r="44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</row>
    <row r="45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</row>
    <row r="46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</row>
    <row r="47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</row>
    <row r="48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</row>
    <row r="49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</row>
    <row r="50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</row>
    <row r="51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</row>
    <row r="52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</row>
    <row r="53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</row>
    <row r="54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</row>
    <row r="55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</row>
    <row r="56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</row>
    <row r="57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</row>
    <row r="58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</row>
    <row r="59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</row>
    <row r="60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</row>
    <row r="6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</row>
    <row r="62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</row>
    <row r="63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</row>
    <row r="64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</row>
    <row r="65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</row>
    <row r="66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</row>
    <row r="67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</row>
    <row r="68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</row>
    <row r="69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</row>
    <row r="70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</row>
    <row r="71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</row>
    <row r="72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</row>
    <row r="73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</row>
    <row r="74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</row>
    <row r="75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</row>
    <row r="76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</row>
    <row r="77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</row>
    <row r="78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</row>
    <row r="79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</row>
    <row r="80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</row>
    <row r="8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</row>
    <row r="82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</row>
    <row r="83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  <c r="AD83" s="132"/>
    </row>
    <row r="84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</row>
    <row r="85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</row>
    <row r="86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</row>
    <row r="87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</row>
    <row r="88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</row>
    <row r="89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</row>
    <row r="90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</row>
    <row r="9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</row>
    <row r="92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</row>
    <row r="93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</row>
    <row r="94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</row>
    <row r="95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</row>
    <row r="96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</row>
    <row r="97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</row>
    <row r="98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</row>
    <row r="99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</row>
    <row r="100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</row>
    <row r="10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</row>
    <row r="102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</row>
    <row r="103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  <c r="AD103" s="132"/>
    </row>
    <row r="104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</row>
    <row r="105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</row>
    <row r="106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</row>
    <row r="107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</row>
    <row r="108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</row>
    <row r="109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</row>
    <row r="110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</row>
    <row r="11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</row>
    <row r="112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</row>
    <row r="113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</row>
    <row r="114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</row>
    <row r="115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</row>
    <row r="116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</row>
    <row r="117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</row>
    <row r="118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</row>
    <row r="119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</row>
    <row r="120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</row>
    <row r="12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</row>
    <row r="122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</row>
    <row r="123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</row>
    <row r="124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</row>
    <row r="125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</row>
    <row r="126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</row>
    <row r="127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</row>
    <row r="128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</row>
    <row r="129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/>
    </row>
    <row r="130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</row>
    <row r="13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</row>
    <row r="132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</row>
    <row r="133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</row>
    <row r="134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</row>
    <row r="135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</row>
    <row r="136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</row>
    <row r="137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</row>
    <row r="138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</row>
    <row r="139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</row>
    <row r="140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</row>
    <row r="14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</row>
    <row r="142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  <c r="AD142" s="132"/>
    </row>
    <row r="143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  <c r="AC143" s="132"/>
      <c r="AD143" s="132"/>
    </row>
    <row r="144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</row>
    <row r="145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</row>
    <row r="146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</row>
    <row r="147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</row>
    <row r="148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</row>
    <row r="149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</row>
    <row r="150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</row>
    <row r="15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</row>
    <row r="152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</row>
    <row r="153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  <c r="AD153" s="132"/>
    </row>
    <row r="154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</row>
    <row r="155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</row>
    <row r="156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</row>
    <row r="157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</row>
    <row r="158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  <c r="AD158" s="132"/>
    </row>
    <row r="159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</row>
    <row r="160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32"/>
    </row>
    <row r="16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/>
    </row>
    <row r="162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/>
    </row>
    <row r="163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  <c r="AC163" s="132"/>
      <c r="AD163" s="132"/>
    </row>
    <row r="164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32"/>
    </row>
    <row r="165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</row>
    <row r="166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</row>
    <row r="167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</row>
    <row r="168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</row>
    <row r="169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</row>
    <row r="170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</row>
    <row r="17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</row>
    <row r="172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</row>
    <row r="173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  <c r="AC173" s="132"/>
      <c r="AD173" s="132"/>
    </row>
    <row r="174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  <c r="AD174" s="132"/>
    </row>
    <row r="175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</row>
    <row r="176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</row>
    <row r="177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</row>
    <row r="178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  <c r="AD178" s="132"/>
    </row>
    <row r="179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</row>
    <row r="180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  <c r="AD180" s="132"/>
    </row>
    <row r="18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</row>
    <row r="182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  <c r="AD182" s="132"/>
    </row>
    <row r="183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  <c r="AD183" s="132"/>
    </row>
    <row r="184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</row>
    <row r="185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</row>
    <row r="186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</row>
    <row r="187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</row>
    <row r="188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</row>
    <row r="189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</row>
    <row r="190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</row>
    <row r="19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</row>
    <row r="192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</row>
    <row r="193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</row>
    <row r="194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</row>
    <row r="195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</row>
    <row r="196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</row>
    <row r="197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</row>
    <row r="198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</row>
    <row r="199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</row>
    <row r="200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</row>
    <row r="20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</row>
    <row r="202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</row>
    <row r="203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</row>
    <row r="204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</row>
    <row r="205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</row>
    <row r="206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</row>
    <row r="207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</row>
    <row r="208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</row>
    <row r="209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</row>
    <row r="210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</row>
    <row r="21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</row>
    <row r="212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</row>
    <row r="213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</row>
    <row r="214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</row>
    <row r="215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</row>
    <row r="216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</row>
    <row r="217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</row>
    <row r="218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  <c r="AD218" s="132"/>
    </row>
    <row r="219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</row>
    <row r="220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</row>
    <row r="22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</row>
    <row r="222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</row>
    <row r="223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</row>
    <row r="224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</row>
    <row r="225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</row>
    <row r="226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</row>
    <row r="227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</row>
    <row r="228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  <c r="AD228" s="132"/>
    </row>
    <row r="229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</row>
    <row r="230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</row>
    <row r="231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</row>
    <row r="232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</row>
    <row r="233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  <c r="AC233" s="132"/>
      <c r="AD233" s="132"/>
    </row>
    <row r="234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</row>
    <row r="235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  <c r="AC235" s="132"/>
      <c r="AD235" s="132"/>
    </row>
    <row r="236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  <c r="AC236" s="132"/>
      <c r="AD236" s="132"/>
    </row>
    <row r="237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  <c r="AC237" s="132"/>
      <c r="AD237" s="132"/>
    </row>
    <row r="238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  <c r="AD238" s="132"/>
    </row>
    <row r="239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  <c r="AD239" s="132"/>
    </row>
    <row r="240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  <c r="AC240" s="132"/>
      <c r="AD240" s="132"/>
    </row>
    <row r="241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  <c r="AD241" s="132"/>
    </row>
    <row r="242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</row>
    <row r="243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/>
      <c r="AD243" s="132"/>
    </row>
    <row r="244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</row>
    <row r="245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  <c r="AC245" s="132"/>
      <c r="AD245" s="132"/>
    </row>
    <row r="246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2"/>
    </row>
    <row r="247">
      <c r="A247" s="132"/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  <c r="AB247" s="132"/>
      <c r="AC247" s="132"/>
      <c r="AD247" s="132"/>
    </row>
    <row r="248">
      <c r="A248" s="132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  <c r="AB248" s="132"/>
      <c r="AC248" s="132"/>
      <c r="AD248" s="132"/>
    </row>
    <row r="249">
      <c r="A249" s="132"/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2"/>
      <c r="AC249" s="132"/>
      <c r="AD249" s="132"/>
    </row>
    <row r="250">
      <c r="A250" s="132"/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  <c r="AD250" s="132"/>
    </row>
    <row r="251">
      <c r="A251" s="132"/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  <c r="AB251" s="132"/>
      <c r="AC251" s="132"/>
      <c r="AD251" s="132"/>
    </row>
    <row r="252">
      <c r="A252" s="132"/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2"/>
      <c r="AC252" s="132"/>
      <c r="AD252" s="132"/>
    </row>
    <row r="253">
      <c r="A253" s="132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  <c r="AB253" s="132"/>
      <c r="AC253" s="132"/>
      <c r="AD253" s="132"/>
    </row>
    <row r="254">
      <c r="A254" s="132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2"/>
      <c r="AC254" s="132"/>
      <c r="AD254" s="132"/>
    </row>
    <row r="255">
      <c r="A255" s="132"/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</row>
    <row r="256">
      <c r="A256" s="132"/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/>
      <c r="AC256" s="132"/>
      <c r="AD256" s="132"/>
    </row>
    <row r="257">
      <c r="A257" s="132"/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2"/>
      <c r="AC257" s="132"/>
      <c r="AD257" s="132"/>
    </row>
    <row r="258">
      <c r="A258" s="132"/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  <c r="AC258" s="132"/>
      <c r="AD258" s="132"/>
    </row>
    <row r="259">
      <c r="A259" s="132"/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  <c r="AD259" s="132"/>
    </row>
    <row r="260">
      <c r="A260" s="132"/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</row>
    <row r="261">
      <c r="A261" s="132"/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  <c r="AD261" s="132"/>
    </row>
    <row r="262">
      <c r="A262" s="132"/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  <c r="AC262" s="132"/>
      <c r="AD262" s="132"/>
    </row>
    <row r="263">
      <c r="A263" s="132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  <c r="AC263" s="132"/>
      <c r="AD263" s="132"/>
    </row>
    <row r="264">
      <c r="A264" s="132"/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  <c r="AD264" s="132"/>
    </row>
    <row r="265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  <c r="AD265" s="132"/>
    </row>
    <row r="266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  <c r="AC266" s="132"/>
      <c r="AD266" s="132"/>
    </row>
    <row r="267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  <c r="AC267" s="132"/>
      <c r="AD267" s="132"/>
    </row>
    <row r="268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  <c r="AD268" s="132"/>
    </row>
    <row r="269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</row>
    <row r="270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</row>
    <row r="271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</row>
    <row r="272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  <c r="AD272" s="132"/>
    </row>
    <row r="273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</row>
    <row r="274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</row>
    <row r="275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  <c r="AD275" s="132"/>
    </row>
    <row r="276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</row>
    <row r="277">
      <c r="A277" s="132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  <c r="AD277" s="132"/>
    </row>
    <row r="278">
      <c r="A278" s="132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  <c r="AD278" s="132"/>
    </row>
    <row r="279">
      <c r="A279" s="132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  <c r="AD279" s="132"/>
    </row>
    <row r="280">
      <c r="A280" s="132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  <c r="AD280" s="132"/>
    </row>
    <row r="281">
      <c r="A281" s="132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  <c r="AD281" s="132"/>
    </row>
    <row r="282">
      <c r="A282" s="132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  <c r="AD282" s="132"/>
    </row>
    <row r="283">
      <c r="A283" s="132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  <c r="AD283" s="132"/>
    </row>
    <row r="284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  <c r="AD284" s="132"/>
    </row>
    <row r="285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  <c r="AD285" s="132"/>
    </row>
    <row r="286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</row>
    <row r="287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</row>
    <row r="288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</row>
    <row r="289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</row>
    <row r="290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</row>
    <row r="291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</row>
    <row r="292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  <c r="AD292" s="132"/>
    </row>
    <row r="293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/>
    </row>
    <row r="294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  <c r="AD294" s="132"/>
    </row>
    <row r="295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</row>
    <row r="296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</row>
    <row r="297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  <c r="AD297" s="132"/>
    </row>
    <row r="298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  <c r="AD298" s="132"/>
    </row>
    <row r="299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</row>
    <row r="300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  <c r="AD300" s="132"/>
    </row>
    <row r="301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  <c r="AD301" s="132"/>
    </row>
    <row r="302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  <c r="AC302" s="132"/>
      <c r="AD302" s="132"/>
    </row>
    <row r="303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  <c r="AD303" s="132"/>
    </row>
    <row r="304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  <c r="AC304" s="132"/>
      <c r="AD304" s="132"/>
    </row>
    <row r="305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  <c r="AC305" s="132"/>
      <c r="AD305" s="132"/>
    </row>
    <row r="306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</row>
    <row r="307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  <c r="AD307" s="132"/>
    </row>
    <row r="308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</row>
    <row r="309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  <c r="AC309" s="132"/>
      <c r="AD309" s="132"/>
    </row>
    <row r="310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  <c r="AD310" s="132"/>
    </row>
    <row r="311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</row>
    <row r="312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2"/>
    </row>
    <row r="313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  <c r="AD313" s="132"/>
    </row>
    <row r="314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  <c r="AC314" s="132"/>
      <c r="AD314" s="132"/>
    </row>
    <row r="315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  <c r="AD315" s="132"/>
    </row>
    <row r="316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  <c r="AD316" s="132"/>
    </row>
    <row r="317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  <c r="AD317" s="132"/>
    </row>
    <row r="318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  <c r="AD318" s="132"/>
    </row>
    <row r="319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  <c r="AD319" s="132"/>
    </row>
    <row r="320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  <c r="AD320" s="132"/>
    </row>
    <row r="321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  <c r="AD321" s="132"/>
    </row>
    <row r="322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</row>
    <row r="323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  <c r="AC323" s="132"/>
      <c r="AD323" s="132"/>
    </row>
    <row r="324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</row>
    <row r="325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  <c r="AD325" s="132"/>
    </row>
    <row r="326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  <c r="AD326" s="132"/>
    </row>
    <row r="327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/>
    </row>
    <row r="328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  <c r="AD328" s="132"/>
    </row>
    <row r="329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</row>
    <row r="330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  <c r="AD330" s="132"/>
    </row>
    <row r="331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  <c r="AC331" s="132"/>
      <c r="AD331" s="132"/>
    </row>
    <row r="332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  <c r="AC332" s="132"/>
      <c r="AD332" s="132"/>
    </row>
    <row r="333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</row>
    <row r="334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  <c r="AD334" s="132"/>
    </row>
    <row r="335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  <c r="AC335" s="132"/>
      <c r="AD335" s="132"/>
    </row>
    <row r="336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  <c r="AC336" s="132"/>
      <c r="AD336" s="132"/>
    </row>
    <row r="337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  <c r="AD337" s="132"/>
    </row>
    <row r="338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  <c r="AC338" s="132"/>
      <c r="AD338" s="132"/>
    </row>
    <row r="339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</row>
    <row r="340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  <c r="AC340" s="132"/>
      <c r="AD340" s="132"/>
    </row>
    <row r="341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  <c r="AC341" s="132"/>
      <c r="AD341" s="132"/>
    </row>
    <row r="342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  <c r="AC342" s="132"/>
      <c r="AD342" s="132"/>
    </row>
    <row r="343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  <c r="AD343" s="132"/>
    </row>
    <row r="344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  <c r="AD344" s="132"/>
    </row>
    <row r="345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  <c r="AC345" s="132"/>
      <c r="AD345" s="132"/>
    </row>
    <row r="346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  <c r="AD346" s="132"/>
    </row>
    <row r="347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/>
      <c r="AD347" s="132"/>
    </row>
    <row r="348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  <c r="AC348" s="132"/>
      <c r="AD348" s="132"/>
    </row>
    <row r="349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  <c r="AC349" s="132"/>
      <c r="AD349" s="132"/>
    </row>
    <row r="350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  <c r="AD350" s="132"/>
    </row>
    <row r="351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  <c r="AD351" s="132"/>
    </row>
    <row r="352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  <c r="AC352" s="132"/>
      <c r="AD352" s="132"/>
    </row>
    <row r="353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  <c r="AC353" s="132"/>
      <c r="AD353" s="132"/>
    </row>
    <row r="354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  <c r="AC354" s="132"/>
      <c r="AD354" s="132"/>
    </row>
    <row r="355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  <c r="AC355" s="132"/>
      <c r="AD355" s="132"/>
    </row>
    <row r="356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2"/>
    </row>
    <row r="357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  <c r="AD357" s="132"/>
    </row>
    <row r="358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  <c r="AD358" s="132"/>
    </row>
    <row r="359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  <c r="AD359" s="132"/>
    </row>
    <row r="360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</row>
    <row r="361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  <c r="AC361" s="132"/>
      <c r="AD361" s="132"/>
    </row>
    <row r="362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  <c r="AC362" s="132"/>
      <c r="AD362" s="132"/>
    </row>
    <row r="363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  <c r="AC363" s="132"/>
      <c r="AD363" s="132"/>
    </row>
    <row r="364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/>
    </row>
    <row r="365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</row>
    <row r="366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  <c r="AC366" s="132"/>
      <c r="AD366" s="132"/>
    </row>
    <row r="367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  <c r="AC367" s="132"/>
      <c r="AD367" s="132"/>
    </row>
    <row r="368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  <c r="AC368" s="132"/>
      <c r="AD368" s="132"/>
    </row>
    <row r="369">
      <c r="A369" s="132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  <c r="AC369" s="132"/>
      <c r="AD369" s="132"/>
    </row>
    <row r="370">
      <c r="A370" s="132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  <c r="AC370" s="132"/>
      <c r="AD370" s="132"/>
    </row>
    <row r="371">
      <c r="A371" s="132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  <c r="AC371" s="132"/>
      <c r="AD371" s="132"/>
    </row>
    <row r="372">
      <c r="A372" s="132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  <c r="AC372" s="132"/>
      <c r="AD372" s="132"/>
    </row>
    <row r="373">
      <c r="A373" s="132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  <c r="AC373" s="132"/>
      <c r="AD373" s="132"/>
    </row>
    <row r="374">
      <c r="A374" s="132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  <c r="AC374" s="132"/>
      <c r="AD374" s="132"/>
    </row>
    <row r="375">
      <c r="A375" s="132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  <c r="AC375" s="132"/>
      <c r="AD375" s="132"/>
    </row>
    <row r="376">
      <c r="A376" s="132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  <c r="AC376" s="132"/>
      <c r="AD376" s="132"/>
    </row>
    <row r="377">
      <c r="A377" s="132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  <c r="AC377" s="132"/>
      <c r="AD377" s="132"/>
    </row>
    <row r="378">
      <c r="A378" s="132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  <c r="AD378" s="132"/>
    </row>
    <row r="379">
      <c r="A379" s="132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2"/>
    </row>
    <row r="380">
      <c r="A380" s="132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  <c r="AD380" s="132"/>
    </row>
    <row r="381">
      <c r="A381" s="132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  <c r="AD381" s="132"/>
    </row>
    <row r="382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</row>
    <row r="383">
      <c r="A383" s="132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  <c r="AC383" s="132"/>
      <c r="AD383" s="132"/>
    </row>
    <row r="384">
      <c r="A384" s="132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  <c r="AC384" s="132"/>
      <c r="AD384" s="132"/>
    </row>
    <row r="385">
      <c r="A385" s="132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  <c r="AD385" s="132"/>
    </row>
    <row r="386">
      <c r="A386" s="132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  <c r="AC386" s="132"/>
      <c r="AD386" s="132"/>
    </row>
    <row r="387">
      <c r="A387" s="132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  <c r="AC387" s="132"/>
      <c r="AD387" s="132"/>
    </row>
    <row r="388">
      <c r="A388" s="132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  <c r="AC388" s="132"/>
      <c r="AD388" s="132"/>
    </row>
    <row r="389">
      <c r="A389" s="132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  <c r="AC389" s="132"/>
      <c r="AD389" s="132"/>
    </row>
    <row r="390">
      <c r="A390" s="132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  <c r="AC390" s="132"/>
      <c r="AD390" s="132"/>
    </row>
    <row r="391">
      <c r="A391" s="132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  <c r="AC391" s="132"/>
      <c r="AD391" s="132"/>
    </row>
    <row r="392">
      <c r="A392" s="132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  <c r="AC392" s="132"/>
      <c r="AD392" s="132"/>
    </row>
    <row r="393">
      <c r="A393" s="132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  <c r="AC393" s="132"/>
      <c r="AD393" s="132"/>
    </row>
    <row r="394">
      <c r="A394" s="132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  <c r="AC394" s="132"/>
      <c r="AD394" s="132"/>
    </row>
    <row r="395">
      <c r="A395" s="132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</row>
    <row r="396">
      <c r="A396" s="132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  <c r="AC396" s="132"/>
      <c r="AD396" s="132"/>
    </row>
    <row r="397">
      <c r="A397" s="132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  <c r="AD397" s="132"/>
    </row>
    <row r="398">
      <c r="A398" s="132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  <c r="AC398" s="132"/>
      <c r="AD398" s="132"/>
    </row>
    <row r="399">
      <c r="A399" s="132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  <c r="AC399" s="132"/>
      <c r="AD399" s="132"/>
    </row>
    <row r="400">
      <c r="A400" s="132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  <c r="AD400" s="132"/>
    </row>
    <row r="401">
      <c r="A401" s="132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  <c r="AC401" s="132"/>
      <c r="AD401" s="132"/>
    </row>
    <row r="402">
      <c r="A402" s="132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  <c r="AC402" s="132"/>
      <c r="AD402" s="132"/>
    </row>
    <row r="403">
      <c r="A403" s="132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  <c r="AD403" s="132"/>
    </row>
    <row r="404">
      <c r="A404" s="132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  <c r="AC404" s="132"/>
      <c r="AD404" s="132"/>
    </row>
    <row r="405">
      <c r="A405" s="132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  <c r="AD405" s="132"/>
    </row>
    <row r="406">
      <c r="A406" s="132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  <c r="AC406" s="132"/>
      <c r="AD406" s="132"/>
    </row>
    <row r="407">
      <c r="A407" s="132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  <c r="AC407" s="132"/>
      <c r="AD407" s="132"/>
    </row>
    <row r="408">
      <c r="A408" s="132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</row>
    <row r="409">
      <c r="A409" s="132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  <c r="AC409" s="132"/>
      <c r="AD409" s="132"/>
    </row>
    <row r="410">
      <c r="A410" s="132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  <c r="AC410" s="132"/>
      <c r="AD410" s="132"/>
    </row>
    <row r="411">
      <c r="A411" s="132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  <c r="AC411" s="132"/>
      <c r="AD411" s="132"/>
    </row>
    <row r="412">
      <c r="A412" s="132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  <c r="AC412" s="132"/>
      <c r="AD412" s="132"/>
    </row>
    <row r="413">
      <c r="A413" s="132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  <c r="AC413" s="132"/>
      <c r="AD413" s="132"/>
    </row>
    <row r="414">
      <c r="A414" s="132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  <c r="AC414" s="132"/>
      <c r="AD414" s="132"/>
    </row>
    <row r="415">
      <c r="A415" s="132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  <c r="AC415" s="132"/>
      <c r="AD415" s="132"/>
    </row>
    <row r="416">
      <c r="A416" s="132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  <c r="AC416" s="132"/>
      <c r="AD416" s="132"/>
    </row>
    <row r="417">
      <c r="A417" s="132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  <c r="AC417" s="132"/>
      <c r="AD417" s="132"/>
    </row>
    <row r="418">
      <c r="A418" s="132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  <c r="AC418" s="132"/>
      <c r="AD418" s="132"/>
    </row>
    <row r="419">
      <c r="A419" s="132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</row>
    <row r="420">
      <c r="A420" s="132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</row>
    <row r="421">
      <c r="A421" s="132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</row>
    <row r="422">
      <c r="A422" s="132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</row>
    <row r="423">
      <c r="A423" s="132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  <c r="AC423" s="132"/>
      <c r="AD423" s="132"/>
    </row>
    <row r="424">
      <c r="A424" s="132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  <c r="AC424" s="132"/>
      <c r="AD424" s="132"/>
    </row>
    <row r="425">
      <c r="A425" s="132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  <c r="AC425" s="132"/>
      <c r="AD425" s="132"/>
    </row>
    <row r="426">
      <c r="A426" s="132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  <c r="AD426" s="132"/>
    </row>
    <row r="427">
      <c r="A427" s="132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2"/>
      <c r="AC427" s="132"/>
      <c r="AD427" s="132"/>
    </row>
    <row r="428">
      <c r="A428" s="132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  <c r="AC428" s="132"/>
      <c r="AD428" s="132"/>
    </row>
    <row r="429">
      <c r="A429" s="132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  <c r="AC429" s="132"/>
      <c r="AD429" s="132"/>
    </row>
    <row r="430">
      <c r="A430" s="132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  <c r="AC430" s="132"/>
      <c r="AD430" s="132"/>
    </row>
    <row r="431">
      <c r="A431" s="132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  <c r="AC431" s="132"/>
      <c r="AD431" s="132"/>
    </row>
    <row r="432">
      <c r="A432" s="132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  <c r="AC432" s="132"/>
      <c r="AD432" s="132"/>
    </row>
    <row r="433">
      <c r="A433" s="132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  <c r="AC433" s="132"/>
      <c r="AD433" s="132"/>
    </row>
    <row r="434">
      <c r="A434" s="132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  <c r="AC434" s="132"/>
      <c r="AD434" s="132"/>
    </row>
    <row r="435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</row>
    <row r="436">
      <c r="A436" s="132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  <c r="AC436" s="132"/>
      <c r="AD436" s="132"/>
    </row>
    <row r="437">
      <c r="A437" s="132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  <c r="AC437" s="132"/>
      <c r="AD437" s="132"/>
    </row>
    <row r="438">
      <c r="A438" s="132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  <c r="AC438" s="132"/>
      <c r="AD438" s="132"/>
    </row>
    <row r="439">
      <c r="A439" s="132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  <c r="AC439" s="132"/>
      <c r="AD439" s="132"/>
    </row>
    <row r="440">
      <c r="A440" s="132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  <c r="AC440" s="132"/>
      <c r="AD440" s="132"/>
    </row>
    <row r="441">
      <c r="A441" s="132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  <c r="AC441" s="132"/>
      <c r="AD441" s="132"/>
    </row>
    <row r="442">
      <c r="A442" s="132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  <c r="AC442" s="132"/>
      <c r="AD442" s="132"/>
    </row>
    <row r="443">
      <c r="A443" s="132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  <c r="AC443" s="132"/>
      <c r="AD443" s="132"/>
    </row>
    <row r="444">
      <c r="A444" s="132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  <c r="AC444" s="132"/>
      <c r="AD444" s="132"/>
    </row>
    <row r="445">
      <c r="A445" s="132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  <c r="AC445" s="132"/>
      <c r="AD445" s="132"/>
    </row>
    <row r="446">
      <c r="A446" s="132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/>
      <c r="AD446" s="132"/>
    </row>
    <row r="447">
      <c r="A447" s="132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  <c r="AC447" s="132"/>
      <c r="AD447" s="132"/>
    </row>
    <row r="448">
      <c r="A448" s="132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2"/>
      <c r="AC448" s="132"/>
      <c r="AD448" s="132"/>
    </row>
    <row r="449">
      <c r="A449" s="132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  <c r="AC449" s="132"/>
      <c r="AD449" s="132"/>
    </row>
    <row r="450">
      <c r="A450" s="132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  <c r="AC450" s="132"/>
      <c r="AD450" s="132"/>
    </row>
    <row r="451">
      <c r="A451" s="132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  <c r="AC451" s="132"/>
      <c r="AD451" s="132"/>
    </row>
    <row r="452">
      <c r="A452" s="132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</row>
    <row r="453">
      <c r="A453" s="132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  <c r="AC453" s="132"/>
      <c r="AD453" s="132"/>
    </row>
    <row r="454">
      <c r="A454" s="132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  <c r="AC454" s="132"/>
      <c r="AD454" s="132"/>
    </row>
    <row r="455">
      <c r="A455" s="132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  <c r="AC455" s="132"/>
      <c r="AD455" s="132"/>
    </row>
    <row r="456">
      <c r="A456" s="132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  <c r="AC456" s="132"/>
      <c r="AD456" s="132"/>
    </row>
    <row r="457">
      <c r="A457" s="132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  <c r="AC457" s="132"/>
      <c r="AD457" s="132"/>
    </row>
    <row r="458">
      <c r="A458" s="132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  <c r="AC458" s="132"/>
      <c r="AD458" s="132"/>
    </row>
    <row r="459">
      <c r="A459" s="132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  <c r="AC459" s="132"/>
      <c r="AD459" s="132"/>
    </row>
    <row r="460">
      <c r="A460" s="132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  <c r="AC460" s="132"/>
      <c r="AD460" s="132"/>
    </row>
    <row r="461">
      <c r="A461" s="132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  <c r="AC461" s="132"/>
      <c r="AD461" s="132"/>
    </row>
    <row r="462">
      <c r="A462" s="132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  <c r="AC462" s="132"/>
      <c r="AD462" s="132"/>
    </row>
    <row r="463">
      <c r="A463" s="132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  <c r="AC463" s="132"/>
      <c r="AD463" s="132"/>
    </row>
    <row r="464">
      <c r="A464" s="132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  <c r="AC464" s="132"/>
      <c r="AD464" s="132"/>
    </row>
    <row r="465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  <c r="AC465" s="132"/>
      <c r="AD465" s="132"/>
    </row>
    <row r="466">
      <c r="A466" s="132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  <c r="AC466" s="132"/>
      <c r="AD466" s="132"/>
    </row>
    <row r="467">
      <c r="A467" s="132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  <c r="AC467" s="132"/>
      <c r="AD467" s="132"/>
    </row>
    <row r="468">
      <c r="A468" s="132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  <c r="AC468" s="132"/>
      <c r="AD468" s="132"/>
    </row>
    <row r="469">
      <c r="A469" s="132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  <c r="AC469" s="132"/>
      <c r="AD469" s="132"/>
    </row>
    <row r="470">
      <c r="A470" s="132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  <c r="AC470" s="132"/>
      <c r="AD470" s="132"/>
    </row>
    <row r="471">
      <c r="A471" s="132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  <c r="AC471" s="132"/>
      <c r="AD471" s="132"/>
    </row>
    <row r="472">
      <c r="A472" s="132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  <c r="AC472" s="132"/>
      <c r="AD472" s="132"/>
    </row>
    <row r="473">
      <c r="A473" s="132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  <c r="AC473" s="132"/>
      <c r="AD473" s="132"/>
    </row>
    <row r="474">
      <c r="A474" s="132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  <c r="AC474" s="132"/>
      <c r="AD474" s="132"/>
    </row>
    <row r="475">
      <c r="A475" s="132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  <c r="AC475" s="132"/>
      <c r="AD475" s="132"/>
    </row>
    <row r="476">
      <c r="A476" s="132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  <c r="AC476" s="132"/>
      <c r="AD476" s="132"/>
    </row>
    <row r="477">
      <c r="A477" s="132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  <c r="AC477" s="132"/>
      <c r="AD477" s="132"/>
    </row>
    <row r="478">
      <c r="A478" s="132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  <c r="AC478" s="132"/>
      <c r="AD478" s="132"/>
    </row>
    <row r="479">
      <c r="A479" s="132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  <c r="AC479" s="132"/>
      <c r="AD479" s="132"/>
    </row>
    <row r="480">
      <c r="A480" s="132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  <c r="AC480" s="132"/>
      <c r="AD480" s="132"/>
    </row>
    <row r="481">
      <c r="A481" s="132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  <c r="AC481" s="132"/>
      <c r="AD481" s="132"/>
    </row>
    <row r="482">
      <c r="A482" s="132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  <c r="AC482" s="132"/>
      <c r="AD482" s="132"/>
    </row>
    <row r="483">
      <c r="A483" s="132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  <c r="AC483" s="132"/>
      <c r="AD483" s="132"/>
    </row>
    <row r="484">
      <c r="A484" s="132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  <c r="AC484" s="132"/>
      <c r="AD484" s="132"/>
    </row>
    <row r="485">
      <c r="A485" s="132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  <c r="AC485" s="132"/>
      <c r="AD485" s="132"/>
    </row>
    <row r="486">
      <c r="A486" s="132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  <c r="AC486" s="132"/>
      <c r="AD486" s="132"/>
    </row>
    <row r="487">
      <c r="A487" s="132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  <c r="AC487" s="132"/>
      <c r="AD487" s="132"/>
    </row>
    <row r="488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</row>
    <row r="489">
      <c r="A489" s="132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  <c r="AC489" s="132"/>
      <c r="AD489" s="132"/>
    </row>
    <row r="490">
      <c r="A490" s="132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  <c r="AC490" s="132"/>
      <c r="AD490" s="132"/>
    </row>
    <row r="491">
      <c r="A491" s="132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  <c r="AC491" s="132"/>
      <c r="AD491" s="132"/>
    </row>
    <row r="492">
      <c r="A492" s="132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  <c r="AC492" s="132"/>
      <c r="AD492" s="132"/>
    </row>
    <row r="493">
      <c r="A493" s="132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  <c r="AC493" s="132"/>
      <c r="AD493" s="132"/>
    </row>
    <row r="494">
      <c r="A494" s="132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</row>
    <row r="495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  <c r="AC495" s="132"/>
      <c r="AD495" s="132"/>
    </row>
    <row r="496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  <c r="AC496" s="132"/>
      <c r="AD496" s="132"/>
    </row>
    <row r="497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  <c r="AC497" s="132"/>
      <c r="AD497" s="132"/>
    </row>
    <row r="498">
      <c r="A498" s="132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  <c r="AC498" s="132"/>
      <c r="AD498" s="132"/>
    </row>
    <row r="499">
      <c r="A499" s="132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  <c r="AC499" s="132"/>
      <c r="AD499" s="132"/>
    </row>
    <row r="500">
      <c r="A500" s="132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  <c r="AC500" s="132"/>
      <c r="AD500" s="132"/>
    </row>
    <row r="501">
      <c r="A501" s="132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  <c r="AC501" s="132"/>
      <c r="AD501" s="132"/>
    </row>
    <row r="502">
      <c r="A502" s="132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  <c r="AC502" s="132"/>
      <c r="AD502" s="132"/>
    </row>
    <row r="503">
      <c r="A503" s="132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  <c r="AC503" s="132"/>
      <c r="AD503" s="132"/>
    </row>
    <row r="504">
      <c r="A504" s="132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  <c r="AC504" s="132"/>
      <c r="AD504" s="132"/>
    </row>
    <row r="505">
      <c r="A505" s="132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  <c r="AC505" s="132"/>
      <c r="AD505" s="132"/>
    </row>
    <row r="506">
      <c r="A506" s="132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  <c r="AC506" s="132"/>
      <c r="AD506" s="132"/>
    </row>
    <row r="507">
      <c r="A507" s="132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  <c r="AC507" s="132"/>
      <c r="AD507" s="132"/>
    </row>
    <row r="508">
      <c r="A508" s="132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  <c r="AC508" s="132"/>
      <c r="AD508" s="132"/>
    </row>
    <row r="509">
      <c r="A509" s="132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  <c r="AC509" s="132"/>
      <c r="AD509" s="132"/>
    </row>
    <row r="510">
      <c r="A510" s="132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  <c r="AC510" s="132"/>
      <c r="AD510" s="132"/>
    </row>
    <row r="511">
      <c r="A511" s="132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</row>
    <row r="512">
      <c r="A512" s="132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  <c r="AC512" s="132"/>
      <c r="AD512" s="132"/>
    </row>
    <row r="513">
      <c r="A513" s="132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  <c r="AC513" s="132"/>
      <c r="AD513" s="132"/>
    </row>
    <row r="514">
      <c r="A514" s="132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  <c r="AC514" s="132"/>
      <c r="AD514" s="132"/>
    </row>
    <row r="515">
      <c r="A515" s="132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  <c r="AC515" s="132"/>
      <c r="AD515" s="132"/>
    </row>
    <row r="516">
      <c r="A516" s="132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  <c r="AC516" s="132"/>
      <c r="AD516" s="132"/>
    </row>
    <row r="517">
      <c r="A517" s="132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  <c r="AC517" s="132"/>
      <c r="AD517" s="132"/>
    </row>
    <row r="518">
      <c r="A518" s="132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  <c r="AC518" s="132"/>
      <c r="AD518" s="132"/>
    </row>
    <row r="519">
      <c r="A519" s="132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  <c r="AC519" s="132"/>
      <c r="AD519" s="132"/>
    </row>
    <row r="520">
      <c r="A520" s="132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  <c r="AC520" s="132"/>
      <c r="AD520" s="132"/>
    </row>
    <row r="521">
      <c r="A521" s="132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  <c r="AC521" s="132"/>
      <c r="AD521" s="132"/>
    </row>
    <row r="522">
      <c r="A522" s="132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  <c r="AC522" s="132"/>
      <c r="AD522" s="132"/>
    </row>
    <row r="523">
      <c r="A523" s="132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  <c r="AC523" s="132"/>
      <c r="AD523" s="132"/>
    </row>
    <row r="524">
      <c r="A524" s="132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  <c r="AC524" s="132"/>
      <c r="AD524" s="132"/>
    </row>
    <row r="525">
      <c r="A525" s="132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  <c r="AC525" s="132"/>
      <c r="AD525" s="132"/>
    </row>
    <row r="526">
      <c r="A526" s="132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  <c r="AC526" s="132"/>
      <c r="AD526" s="132"/>
    </row>
    <row r="527">
      <c r="A527" s="132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  <c r="AC527" s="132"/>
      <c r="AD527" s="132"/>
    </row>
    <row r="528">
      <c r="A528" s="132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  <c r="AC528" s="132"/>
      <c r="AD528" s="132"/>
    </row>
    <row r="529">
      <c r="A529" s="132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  <c r="AC529" s="132"/>
      <c r="AD529" s="132"/>
    </row>
    <row r="530">
      <c r="A530" s="132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  <c r="AC530" s="132"/>
      <c r="AD530" s="132"/>
    </row>
    <row r="531">
      <c r="A531" s="132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  <c r="AC531" s="132"/>
      <c r="AD531" s="132"/>
    </row>
    <row r="532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  <c r="AC532" s="132"/>
      <c r="AD532" s="132"/>
    </row>
    <row r="533">
      <c r="A533" s="132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  <c r="AC533" s="132"/>
      <c r="AD533" s="132"/>
    </row>
    <row r="534">
      <c r="A534" s="132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  <c r="AC534" s="132"/>
      <c r="AD534" s="132"/>
    </row>
    <row r="535">
      <c r="A535" s="132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  <c r="AC535" s="132"/>
      <c r="AD535" s="132"/>
    </row>
    <row r="536">
      <c r="A536" s="132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  <c r="AC536" s="132"/>
      <c r="AD536" s="132"/>
    </row>
    <row r="537">
      <c r="A537" s="132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  <c r="AC537" s="132"/>
      <c r="AD537" s="132"/>
    </row>
    <row r="538">
      <c r="A538" s="132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2"/>
      <c r="AC538" s="132"/>
      <c r="AD538" s="132"/>
    </row>
    <row r="539">
      <c r="A539" s="132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2"/>
      <c r="AC539" s="132"/>
      <c r="AD539" s="132"/>
    </row>
    <row r="540">
      <c r="A540" s="132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2"/>
      <c r="AC540" s="132"/>
      <c r="AD540" s="132"/>
    </row>
    <row r="54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</row>
    <row r="542">
      <c r="A542" s="132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  <c r="AC542" s="132"/>
      <c r="AD542" s="132"/>
    </row>
    <row r="543">
      <c r="A543" s="132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2"/>
      <c r="AC543" s="132"/>
      <c r="AD543" s="132"/>
    </row>
    <row r="544">
      <c r="A544" s="132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2"/>
      <c r="AC544" s="132"/>
      <c r="AD544" s="132"/>
    </row>
    <row r="545">
      <c r="A545" s="132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  <c r="AC545" s="132"/>
      <c r="AD545" s="132"/>
    </row>
    <row r="546">
      <c r="A546" s="132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2"/>
      <c r="AC546" s="132"/>
      <c r="AD546" s="132"/>
    </row>
    <row r="547">
      <c r="A547" s="132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  <c r="AC547" s="132"/>
      <c r="AD547" s="132"/>
    </row>
    <row r="548">
      <c r="A548" s="132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2"/>
      <c r="AC548" s="132"/>
      <c r="AD548" s="132"/>
    </row>
    <row r="549">
      <c r="A549" s="132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2"/>
      <c r="AC549" s="132"/>
      <c r="AD549" s="132"/>
    </row>
    <row r="550">
      <c r="A550" s="132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2"/>
      <c r="AC550" s="132"/>
      <c r="AD550" s="132"/>
    </row>
    <row r="551">
      <c r="A551" s="132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2"/>
      <c r="AC551" s="132"/>
      <c r="AD551" s="132"/>
    </row>
    <row r="552">
      <c r="A552" s="132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  <c r="AC552" s="132"/>
      <c r="AD552" s="132"/>
    </row>
    <row r="553">
      <c r="A553" s="132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  <c r="AC553" s="132"/>
      <c r="AD553" s="132"/>
    </row>
    <row r="554">
      <c r="A554" s="132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  <c r="AC554" s="132"/>
      <c r="AD554" s="132"/>
    </row>
    <row r="555">
      <c r="A555" s="132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2"/>
      <c r="AC555" s="132"/>
      <c r="AD555" s="132"/>
    </row>
    <row r="556">
      <c r="A556" s="132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2"/>
      <c r="AC556" s="132"/>
      <c r="AD556" s="132"/>
    </row>
    <row r="557">
      <c r="A557" s="132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2"/>
      <c r="AC557" s="132"/>
      <c r="AD557" s="132"/>
    </row>
    <row r="558">
      <c r="A558" s="132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  <c r="AC558" s="132"/>
      <c r="AD558" s="132"/>
    </row>
    <row r="559">
      <c r="A559" s="132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  <c r="AC559" s="132"/>
      <c r="AD559" s="132"/>
    </row>
    <row r="560">
      <c r="A560" s="132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  <c r="AC560" s="132"/>
      <c r="AD560" s="132"/>
    </row>
    <row r="561">
      <c r="A561" s="132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  <c r="AC561" s="132"/>
      <c r="AD561" s="132"/>
    </row>
    <row r="562">
      <c r="A562" s="132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2"/>
      <c r="AC562" s="132"/>
      <c r="AD562" s="132"/>
    </row>
    <row r="563">
      <c r="A563" s="132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2"/>
      <c r="AC563" s="132"/>
      <c r="AD563" s="132"/>
    </row>
    <row r="564">
      <c r="A564" s="132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/>
      <c r="AC564" s="132"/>
      <c r="AD564" s="132"/>
    </row>
    <row r="565">
      <c r="A565" s="132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  <c r="AD565" s="132"/>
    </row>
    <row r="566">
      <c r="A566" s="132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2"/>
      <c r="AC566" s="132"/>
      <c r="AD566" s="132"/>
    </row>
    <row r="567">
      <c r="A567" s="132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2"/>
      <c r="AC567" s="132"/>
      <c r="AD567" s="132"/>
    </row>
    <row r="568">
      <c r="A568" s="132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2"/>
      <c r="AC568" s="132"/>
      <c r="AD568" s="132"/>
    </row>
    <row r="569">
      <c r="A569" s="132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2"/>
      <c r="AC569" s="132"/>
      <c r="AD569" s="132"/>
    </row>
    <row r="570">
      <c r="A570" s="132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2"/>
      <c r="AC570" s="132"/>
      <c r="AD570" s="132"/>
    </row>
    <row r="571">
      <c r="A571" s="132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2"/>
      <c r="AC571" s="132"/>
      <c r="AD571" s="132"/>
    </row>
    <row r="572">
      <c r="A572" s="132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2"/>
      <c r="AC572" s="132"/>
      <c r="AD572" s="132"/>
    </row>
    <row r="573">
      <c r="A573" s="132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2"/>
      <c r="AC573" s="132"/>
      <c r="AD573" s="132"/>
    </row>
    <row r="574">
      <c r="A574" s="132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2"/>
      <c r="AC574" s="132"/>
      <c r="AD574" s="132"/>
    </row>
    <row r="575">
      <c r="A575" s="132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2"/>
      <c r="AC575" s="132"/>
      <c r="AD575" s="132"/>
    </row>
    <row r="576">
      <c r="A576" s="132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2"/>
      <c r="AC576" s="132"/>
      <c r="AD576" s="132"/>
    </row>
    <row r="577">
      <c r="A577" s="132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2"/>
      <c r="AC577" s="132"/>
      <c r="AD577" s="132"/>
    </row>
    <row r="578">
      <c r="A578" s="132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  <c r="AC578" s="132"/>
      <c r="AD578" s="132"/>
    </row>
    <row r="579">
      <c r="A579" s="132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  <c r="AC579" s="132"/>
      <c r="AD579" s="132"/>
    </row>
    <row r="580">
      <c r="A580" s="132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  <c r="AC580" s="132"/>
      <c r="AD580" s="132"/>
    </row>
    <row r="581">
      <c r="A581" s="132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2"/>
      <c r="AC581" s="132"/>
      <c r="AD581" s="132"/>
    </row>
    <row r="582">
      <c r="A582" s="132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  <c r="AD582" s="132"/>
    </row>
    <row r="583">
      <c r="A583" s="132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  <c r="AC583" s="132"/>
      <c r="AD583" s="132"/>
    </row>
    <row r="584">
      <c r="A584" s="132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2"/>
      <c r="AC584" s="132"/>
      <c r="AD584" s="132"/>
    </row>
    <row r="585">
      <c r="A585" s="132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2"/>
      <c r="AC585" s="132"/>
      <c r="AD585" s="132"/>
    </row>
    <row r="586">
      <c r="A586" s="132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2"/>
      <c r="AC586" s="132"/>
      <c r="AD586" s="132"/>
    </row>
    <row r="587">
      <c r="A587" s="132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  <c r="AC587" s="132"/>
      <c r="AD587" s="132"/>
    </row>
    <row r="588">
      <c r="A588" s="132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2"/>
      <c r="AC588" s="132"/>
      <c r="AD588" s="132"/>
    </row>
    <row r="589">
      <c r="A589" s="132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2"/>
      <c r="AC589" s="132"/>
      <c r="AD589" s="132"/>
    </row>
    <row r="590">
      <c r="A590" s="132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2"/>
      <c r="AC590" s="132"/>
      <c r="AD590" s="132"/>
    </row>
    <row r="591">
      <c r="A591" s="132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  <c r="AC591" s="132"/>
      <c r="AD591" s="132"/>
    </row>
    <row r="592">
      <c r="A592" s="132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2"/>
      <c r="AC592" s="132"/>
      <c r="AD592" s="132"/>
    </row>
    <row r="593">
      <c r="A593" s="132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2"/>
      <c r="AC593" s="132"/>
      <c r="AD593" s="132"/>
    </row>
    <row r="594">
      <c r="A594" s="132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2"/>
      <c r="AC594" s="132"/>
      <c r="AD594" s="132"/>
    </row>
    <row r="595">
      <c r="A595" s="132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  <c r="AC595" s="132"/>
      <c r="AD595" s="132"/>
    </row>
    <row r="596">
      <c r="A596" s="132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2"/>
      <c r="AC596" s="132"/>
      <c r="AD596" s="132"/>
    </row>
    <row r="597">
      <c r="A597" s="132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2"/>
      <c r="AC597" s="132"/>
      <c r="AD597" s="132"/>
    </row>
    <row r="598">
      <c r="A598" s="132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  <c r="AC598" s="132"/>
      <c r="AD598" s="132"/>
    </row>
    <row r="599">
      <c r="A599" s="132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2"/>
      <c r="AC599" s="132"/>
      <c r="AD599" s="132"/>
    </row>
    <row r="600">
      <c r="A600" s="132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2"/>
      <c r="AC600" s="132"/>
      <c r="AD600" s="132"/>
    </row>
    <row r="601">
      <c r="A601" s="132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2"/>
      <c r="AC601" s="132"/>
      <c r="AD601" s="132"/>
    </row>
    <row r="602">
      <c r="A602" s="132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2"/>
      <c r="AC602" s="132"/>
      <c r="AD602" s="132"/>
    </row>
    <row r="603">
      <c r="A603" s="132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  <c r="AC603" s="132"/>
      <c r="AD603" s="132"/>
    </row>
    <row r="604">
      <c r="A604" s="132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  <c r="AC604" s="132"/>
      <c r="AD604" s="132"/>
    </row>
    <row r="605">
      <c r="A605" s="132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2"/>
      <c r="AC605" s="132"/>
      <c r="AD605" s="132"/>
    </row>
    <row r="606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  <c r="AC606" s="132"/>
      <c r="AD606" s="132"/>
    </row>
    <row r="607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  <c r="AC607" s="132"/>
      <c r="AD607" s="132"/>
    </row>
    <row r="608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  <c r="AC608" s="132"/>
      <c r="AD608" s="132"/>
    </row>
    <row r="609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  <c r="AC609" s="132"/>
      <c r="AD609" s="132"/>
    </row>
    <row r="610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  <c r="AC610" s="132"/>
      <c r="AD610" s="132"/>
    </row>
    <row r="611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2"/>
      <c r="AC611" s="132"/>
      <c r="AD611" s="132"/>
    </row>
    <row r="612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2"/>
      <c r="AC612" s="132"/>
      <c r="AD612" s="132"/>
    </row>
    <row r="613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  <c r="AC613" s="132"/>
      <c r="AD613" s="132"/>
    </row>
    <row r="614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2"/>
      <c r="AC614" s="132"/>
      <c r="AD614" s="132"/>
    </row>
    <row r="615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2"/>
      <c r="AC615" s="132"/>
      <c r="AD615" s="132"/>
    </row>
    <row r="616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/>
      <c r="AC616" s="132"/>
      <c r="AD616" s="132"/>
    </row>
    <row r="617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2"/>
      <c r="AC617" s="132"/>
      <c r="AD617" s="132"/>
    </row>
    <row r="618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2"/>
      <c r="AC618" s="132"/>
      <c r="AD618" s="132"/>
    </row>
    <row r="619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2"/>
      <c r="AC619" s="132"/>
      <c r="AD619" s="132"/>
    </row>
    <row r="620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2"/>
      <c r="AC620" s="132"/>
      <c r="AD620" s="132"/>
    </row>
    <row r="621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  <c r="AC621" s="132"/>
      <c r="AD621" s="132"/>
    </row>
    <row r="622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2"/>
      <c r="AC622" s="132"/>
      <c r="AD622" s="132"/>
    </row>
    <row r="623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2"/>
      <c r="AC623" s="132"/>
      <c r="AD623" s="132"/>
    </row>
    <row r="624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  <c r="AC624" s="132"/>
      <c r="AD624" s="132"/>
    </row>
    <row r="625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  <c r="AC625" s="132"/>
      <c r="AD625" s="132"/>
    </row>
    <row r="626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  <c r="AD626" s="132"/>
    </row>
    <row r="627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2"/>
      <c r="AC627" s="132"/>
      <c r="AD627" s="132"/>
    </row>
    <row r="628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2"/>
      <c r="AC628" s="132"/>
      <c r="AD628" s="132"/>
    </row>
    <row r="629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2"/>
      <c r="AC629" s="132"/>
      <c r="AD629" s="132"/>
    </row>
    <row r="630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2"/>
      <c r="AC630" s="132"/>
      <c r="AD630" s="132"/>
    </row>
    <row r="631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2"/>
      <c r="AC631" s="132"/>
      <c r="AD631" s="132"/>
    </row>
    <row r="632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  <c r="AC632" s="132"/>
      <c r="AD632" s="132"/>
    </row>
    <row r="633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  <c r="AC633" s="132"/>
      <c r="AD633" s="132"/>
    </row>
    <row r="634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  <c r="AC634" s="132"/>
      <c r="AD634" s="132"/>
    </row>
    <row r="635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  <c r="AC635" s="132"/>
      <c r="AD635" s="132"/>
    </row>
    <row r="636">
      <c r="A636" s="132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  <c r="AC636" s="132"/>
      <c r="AD636" s="132"/>
    </row>
    <row r="637">
      <c r="A637" s="132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  <c r="AC637" s="132"/>
      <c r="AD637" s="132"/>
    </row>
    <row r="638">
      <c r="A638" s="132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  <c r="AC638" s="132"/>
      <c r="AD638" s="132"/>
    </row>
    <row r="639">
      <c r="A639" s="132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  <c r="AC639" s="132"/>
      <c r="AD639" s="132"/>
    </row>
    <row r="640">
      <c r="A640" s="132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  <c r="AC640" s="132"/>
      <c r="AD640" s="132"/>
    </row>
    <row r="641">
      <c r="A641" s="132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  <c r="AD641" s="132"/>
    </row>
    <row r="642">
      <c r="A642" s="132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  <c r="AC642" s="132"/>
      <c r="AD642" s="132"/>
    </row>
    <row r="643">
      <c r="A643" s="132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  <c r="AD643" s="132"/>
    </row>
    <row r="644">
      <c r="A644" s="132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  <c r="AC644" s="132"/>
      <c r="AD644" s="132"/>
    </row>
    <row r="645">
      <c r="A645" s="132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  <c r="AC645" s="132"/>
      <c r="AD645" s="132"/>
    </row>
    <row r="646">
      <c r="A646" s="132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  <c r="AC646" s="132"/>
      <c r="AD646" s="132"/>
    </row>
    <row r="647">
      <c r="A647" s="132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  <c r="AC647" s="132"/>
      <c r="AD647" s="132"/>
    </row>
    <row r="648">
      <c r="A648" s="132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  <c r="AC648" s="132"/>
      <c r="AD648" s="132"/>
    </row>
    <row r="649">
      <c r="A649" s="132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  <c r="AC649" s="132"/>
      <c r="AD649" s="132"/>
    </row>
    <row r="650">
      <c r="A650" s="132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  <c r="AD650" s="132"/>
    </row>
    <row r="651">
      <c r="A651" s="132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  <c r="AC651" s="132"/>
      <c r="AD651" s="132"/>
    </row>
    <row r="652">
      <c r="A652" s="132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  <c r="AD652" s="132"/>
    </row>
    <row r="653">
      <c r="A653" s="132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  <c r="AC653" s="132"/>
      <c r="AD653" s="132"/>
    </row>
    <row r="654">
      <c r="A654" s="132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  <c r="AC654" s="132"/>
      <c r="AD654" s="132"/>
    </row>
    <row r="655">
      <c r="A655" s="132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  <c r="AC655" s="132"/>
      <c r="AD655" s="132"/>
    </row>
    <row r="656">
      <c r="A656" s="132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  <c r="AC656" s="132"/>
      <c r="AD656" s="132"/>
    </row>
    <row r="657">
      <c r="A657" s="132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  <c r="AC657" s="132"/>
      <c r="AD657" s="132"/>
    </row>
    <row r="658">
      <c r="A658" s="132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  <c r="AC658" s="132"/>
      <c r="AD658" s="132"/>
    </row>
    <row r="659">
      <c r="A659" s="132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  <c r="AC659" s="132"/>
      <c r="AD659" s="132"/>
    </row>
    <row r="660">
      <c r="A660" s="132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  <c r="AC660" s="132"/>
      <c r="AD660" s="132"/>
    </row>
    <row r="661">
      <c r="A661" s="132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  <c r="AC661" s="132"/>
      <c r="AD661" s="132"/>
    </row>
    <row r="662">
      <c r="A662" s="132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  <c r="AC662" s="132"/>
      <c r="AD662" s="132"/>
    </row>
    <row r="663">
      <c r="A663" s="132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</row>
    <row r="664">
      <c r="A664" s="132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  <c r="AC664" s="132"/>
      <c r="AD664" s="132"/>
    </row>
    <row r="665">
      <c r="A665" s="132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  <c r="AC665" s="132"/>
      <c r="AD665" s="132"/>
    </row>
    <row r="666">
      <c r="A666" s="132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  <c r="AC666" s="132"/>
      <c r="AD666" s="132"/>
    </row>
    <row r="667">
      <c r="A667" s="132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  <c r="AC667" s="132"/>
      <c r="AD667" s="132"/>
    </row>
    <row r="668">
      <c r="A668" s="132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  <c r="AC668" s="132"/>
      <c r="AD668" s="132"/>
    </row>
    <row r="669">
      <c r="A669" s="132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  <c r="AC669" s="132"/>
      <c r="AD669" s="132"/>
    </row>
    <row r="670">
      <c r="A670" s="132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  <c r="AC670" s="132"/>
      <c r="AD670" s="132"/>
    </row>
    <row r="671">
      <c r="A671" s="132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  <c r="AC671" s="132"/>
      <c r="AD671" s="132"/>
    </row>
    <row r="672">
      <c r="A672" s="132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  <c r="AC672" s="132"/>
      <c r="AD672" s="132"/>
    </row>
    <row r="673">
      <c r="A673" s="132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  <c r="AC673" s="132"/>
      <c r="AD673" s="132"/>
    </row>
    <row r="674">
      <c r="A674" s="132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  <c r="AC674" s="132"/>
      <c r="AD674" s="132"/>
    </row>
    <row r="675">
      <c r="A675" s="132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  <c r="AC675" s="132"/>
      <c r="AD675" s="132"/>
    </row>
    <row r="676">
      <c r="A676" s="132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  <c r="AC676" s="132"/>
      <c r="AD676" s="132"/>
    </row>
    <row r="677">
      <c r="A677" s="132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  <c r="AC677" s="132"/>
      <c r="AD677" s="132"/>
    </row>
    <row r="678">
      <c r="A678" s="132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  <c r="AC678" s="132"/>
      <c r="AD678" s="132"/>
    </row>
    <row r="679">
      <c r="A679" s="132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  <c r="AC679" s="132"/>
      <c r="AD679" s="132"/>
    </row>
    <row r="680">
      <c r="A680" s="132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  <c r="AC680" s="132"/>
      <c r="AD680" s="132"/>
    </row>
    <row r="681">
      <c r="A681" s="132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  <c r="AC681" s="132"/>
      <c r="AD681" s="132"/>
    </row>
    <row r="682">
      <c r="A682" s="132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  <c r="AC682" s="132"/>
      <c r="AD682" s="132"/>
    </row>
    <row r="683">
      <c r="A683" s="132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  <c r="AC683" s="132"/>
      <c r="AD683" s="132"/>
    </row>
    <row r="684">
      <c r="A684" s="132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  <c r="AC684" s="132"/>
      <c r="AD684" s="132"/>
    </row>
    <row r="685">
      <c r="A685" s="132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  <c r="AC685" s="132"/>
      <c r="AD685" s="132"/>
    </row>
    <row r="686">
      <c r="A686" s="132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  <c r="AD686" s="132"/>
    </row>
    <row r="687">
      <c r="A687" s="132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  <c r="AC687" s="132"/>
      <c r="AD687" s="132"/>
    </row>
    <row r="688">
      <c r="A688" s="132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  <c r="AD688" s="132"/>
    </row>
    <row r="689">
      <c r="A689" s="132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  <c r="AC689" s="132"/>
      <c r="AD689" s="132"/>
    </row>
    <row r="690">
      <c r="A690" s="132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  <c r="AC690" s="132"/>
      <c r="AD690" s="132"/>
    </row>
    <row r="691">
      <c r="A691" s="132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  <c r="AC691" s="132"/>
      <c r="AD691" s="132"/>
    </row>
    <row r="692">
      <c r="A692" s="132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  <c r="AD692" s="132"/>
    </row>
    <row r="693">
      <c r="A693" s="132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  <c r="AD693" s="132"/>
    </row>
    <row r="694">
      <c r="A694" s="132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  <c r="AD694" s="132"/>
    </row>
    <row r="695">
      <c r="A695" s="132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/>
    </row>
    <row r="696">
      <c r="A696" s="132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  <c r="AD696" s="132"/>
    </row>
    <row r="697">
      <c r="A697" s="132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  <c r="AD697" s="132"/>
    </row>
    <row r="698">
      <c r="A698" s="132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  <c r="AD698" s="132"/>
    </row>
    <row r="699">
      <c r="A699" s="132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  <c r="AC699" s="132"/>
      <c r="AD699" s="132"/>
    </row>
    <row r="700">
      <c r="A700" s="132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  <c r="AC700" s="132"/>
      <c r="AD700" s="132"/>
    </row>
    <row r="701">
      <c r="A701" s="132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  <c r="AC701" s="132"/>
      <c r="AD701" s="132"/>
    </row>
    <row r="702">
      <c r="A702" s="132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  <c r="AD702" s="132"/>
    </row>
    <row r="703">
      <c r="A703" s="132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  <c r="AC703" s="132"/>
      <c r="AD703" s="132"/>
    </row>
    <row r="704">
      <c r="A704" s="132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  <c r="AC704" s="132"/>
      <c r="AD704" s="132"/>
    </row>
    <row r="705">
      <c r="A705" s="132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  <c r="AC705" s="132"/>
      <c r="AD705" s="132"/>
    </row>
    <row r="706">
      <c r="A706" s="132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  <c r="AC706" s="132"/>
      <c r="AD706" s="132"/>
    </row>
    <row r="707">
      <c r="A707" s="132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  <c r="AC707" s="132"/>
      <c r="AD707" s="132"/>
    </row>
    <row r="708">
      <c r="A708" s="132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  <c r="AC708" s="132"/>
      <c r="AD708" s="132"/>
    </row>
    <row r="709">
      <c r="A709" s="132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  <c r="AC709" s="132"/>
      <c r="AD709" s="132"/>
    </row>
    <row r="710">
      <c r="A710" s="132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  <c r="AC710" s="132"/>
      <c r="AD710" s="132"/>
    </row>
    <row r="711">
      <c r="A711" s="132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  <c r="AD711" s="132"/>
    </row>
    <row r="712">
      <c r="A712" s="132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</row>
    <row r="713">
      <c r="A713" s="132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  <c r="AD713" s="132"/>
    </row>
    <row r="714">
      <c r="A714" s="132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  <c r="AC714" s="132"/>
      <c r="AD714" s="132"/>
    </row>
    <row r="715">
      <c r="A715" s="132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  <c r="AC715" s="132"/>
      <c r="AD715" s="132"/>
    </row>
    <row r="716">
      <c r="A716" s="132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  <c r="AD716" s="132"/>
    </row>
    <row r="717">
      <c r="A717" s="132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  <c r="AC717" s="132"/>
      <c r="AD717" s="132"/>
    </row>
    <row r="718">
      <c r="A718" s="132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  <c r="AC718" s="132"/>
      <c r="AD718" s="132"/>
    </row>
    <row r="719">
      <c r="A719" s="132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  <c r="AC719" s="132"/>
      <c r="AD719" s="132"/>
    </row>
    <row r="720">
      <c r="A720" s="132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  <c r="AC720" s="132"/>
      <c r="AD720" s="132"/>
    </row>
    <row r="721">
      <c r="A721" s="132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  <c r="AC721" s="132"/>
      <c r="AD721" s="132"/>
    </row>
    <row r="722">
      <c r="A722" s="132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  <c r="AC722" s="132"/>
      <c r="AD722" s="132"/>
    </row>
    <row r="723">
      <c r="A723" s="132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  <c r="AC723" s="132"/>
      <c r="AD723" s="132"/>
    </row>
    <row r="724">
      <c r="A724" s="132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  <c r="AC724" s="132"/>
      <c r="AD724" s="132"/>
    </row>
    <row r="725">
      <c r="A725" s="132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  <c r="AC725" s="132"/>
      <c r="AD725" s="132"/>
    </row>
    <row r="726">
      <c r="A726" s="132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  <c r="AC726" s="132"/>
      <c r="AD726" s="132"/>
    </row>
    <row r="727">
      <c r="A727" s="132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  <c r="AC727" s="132"/>
      <c r="AD727" s="132"/>
    </row>
    <row r="728">
      <c r="A728" s="132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  <c r="AC728" s="132"/>
      <c r="AD728" s="132"/>
    </row>
    <row r="729">
      <c r="A729" s="132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  <c r="AC729" s="132"/>
      <c r="AD729" s="132"/>
    </row>
    <row r="730">
      <c r="A730" s="132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  <c r="AC730" s="132"/>
      <c r="AD730" s="132"/>
    </row>
    <row r="731">
      <c r="A731" s="132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  <c r="AC731" s="132"/>
      <c r="AD731" s="132"/>
    </row>
    <row r="732">
      <c r="A732" s="132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  <c r="AC732" s="132"/>
      <c r="AD732" s="132"/>
    </row>
    <row r="733">
      <c r="A733" s="132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  <c r="AC733" s="132"/>
      <c r="AD733" s="132"/>
    </row>
    <row r="734">
      <c r="A734" s="132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  <c r="AC734" s="132"/>
      <c r="AD734" s="132"/>
    </row>
    <row r="735">
      <c r="A735" s="132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</row>
    <row r="736">
      <c r="A736" s="132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  <c r="AC736" s="132"/>
      <c r="AD736" s="132"/>
    </row>
    <row r="737">
      <c r="A737" s="132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  <c r="AC737" s="132"/>
      <c r="AD737" s="132"/>
    </row>
    <row r="738">
      <c r="A738" s="132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  <c r="AC738" s="132"/>
      <c r="AD738" s="132"/>
    </row>
    <row r="739">
      <c r="A739" s="132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  <c r="AC739" s="132"/>
      <c r="AD739" s="132"/>
    </row>
    <row r="740">
      <c r="A740" s="132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  <c r="AC740" s="132"/>
      <c r="AD740" s="132"/>
    </row>
    <row r="741">
      <c r="A741" s="132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  <c r="AC741" s="132"/>
      <c r="AD741" s="132"/>
    </row>
    <row r="742">
      <c r="A742" s="132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  <c r="AC742" s="132"/>
      <c r="AD742" s="132"/>
    </row>
    <row r="743">
      <c r="A743" s="132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  <c r="AD743" s="132"/>
    </row>
    <row r="744">
      <c r="A744" s="132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  <c r="AC744" s="132"/>
      <c r="AD744" s="132"/>
    </row>
    <row r="745">
      <c r="A745" s="132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  <c r="AC745" s="132"/>
      <c r="AD745" s="132"/>
    </row>
    <row r="746">
      <c r="A746" s="132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  <c r="AC746" s="132"/>
      <c r="AD746" s="132"/>
    </row>
    <row r="747">
      <c r="A747" s="132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  <c r="AC747" s="132"/>
      <c r="AD747" s="132"/>
    </row>
    <row r="748">
      <c r="A748" s="132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  <c r="AC748" s="132"/>
      <c r="AD748" s="132"/>
    </row>
    <row r="749">
      <c r="A749" s="132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  <c r="AC749" s="132"/>
      <c r="AD749" s="132"/>
    </row>
    <row r="750">
      <c r="A750" s="132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  <c r="AC750" s="132"/>
      <c r="AD750" s="132"/>
    </row>
    <row r="751">
      <c r="A751" s="132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  <c r="AC751" s="132"/>
      <c r="AD751" s="132"/>
    </row>
    <row r="752">
      <c r="A752" s="132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  <c r="AC752" s="132"/>
      <c r="AD752" s="132"/>
    </row>
    <row r="753">
      <c r="A753" s="132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  <c r="AC753" s="132"/>
      <c r="AD753" s="132"/>
    </row>
    <row r="754">
      <c r="A754" s="132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  <c r="AD754" s="132"/>
    </row>
    <row r="755">
      <c r="A755" s="132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  <c r="AC755" s="132"/>
      <c r="AD755" s="132"/>
    </row>
    <row r="756">
      <c r="A756" s="132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  <c r="AC756" s="132"/>
      <c r="AD756" s="132"/>
    </row>
    <row r="757">
      <c r="A757" s="132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  <c r="AC757" s="132"/>
      <c r="AD757" s="132"/>
    </row>
    <row r="758">
      <c r="A758" s="132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  <c r="AC758" s="132"/>
      <c r="AD758" s="132"/>
    </row>
    <row r="759">
      <c r="A759" s="132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  <c r="AC759" s="132"/>
      <c r="AD759" s="132"/>
    </row>
    <row r="760">
      <c r="A760" s="132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  <c r="AC760" s="132"/>
      <c r="AD760" s="132"/>
    </row>
    <row r="761">
      <c r="A761" s="132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  <c r="AC761" s="132"/>
      <c r="AD761" s="132"/>
    </row>
    <row r="762">
      <c r="A762" s="132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  <c r="AC762" s="132"/>
      <c r="AD762" s="132"/>
    </row>
    <row r="763">
      <c r="A763" s="132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  <c r="AC763" s="132"/>
      <c r="AD763" s="132"/>
    </row>
    <row r="764">
      <c r="A764" s="132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  <c r="AD764" s="132"/>
    </row>
    <row r="765">
      <c r="A765" s="132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  <c r="AC765" s="132"/>
      <c r="AD765" s="132"/>
    </row>
    <row r="766">
      <c r="A766" s="132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  <c r="AC766" s="132"/>
      <c r="AD766" s="132"/>
    </row>
    <row r="767">
      <c r="A767" s="132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  <c r="AC767" s="132"/>
      <c r="AD767" s="132"/>
    </row>
    <row r="768">
      <c r="A768" s="132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  <c r="AC768" s="132"/>
      <c r="AD768" s="132"/>
    </row>
    <row r="769">
      <c r="A769" s="132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  <c r="AC769" s="132"/>
      <c r="AD769" s="132"/>
    </row>
    <row r="770">
      <c r="A770" s="132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  <c r="AC770" s="132"/>
      <c r="AD770" s="132"/>
    </row>
    <row r="771">
      <c r="A771" s="132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  <c r="AC771" s="132"/>
      <c r="AD771" s="132"/>
    </row>
    <row r="772">
      <c r="A772" s="132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  <c r="AC772" s="132"/>
      <c r="AD772" s="132"/>
    </row>
    <row r="773">
      <c r="A773" s="132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  <c r="AC773" s="132"/>
      <c r="AD773" s="132"/>
    </row>
    <row r="774">
      <c r="A774" s="132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  <c r="AC774" s="132"/>
      <c r="AD774" s="132"/>
    </row>
    <row r="775">
      <c r="A775" s="132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  <c r="AC775" s="132"/>
      <c r="AD775" s="132"/>
    </row>
    <row r="776">
      <c r="A776" s="132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  <c r="AC776" s="132"/>
      <c r="AD776" s="132"/>
    </row>
    <row r="777">
      <c r="A777" s="132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  <c r="AC777" s="132"/>
      <c r="AD777" s="132"/>
    </row>
    <row r="778">
      <c r="A778" s="132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  <c r="AC778" s="132"/>
      <c r="AD778" s="132"/>
    </row>
    <row r="779">
      <c r="A779" s="132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  <c r="AC779" s="132"/>
      <c r="AD779" s="132"/>
    </row>
    <row r="780">
      <c r="A780" s="132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  <c r="AC780" s="132"/>
      <c r="AD780" s="132"/>
    </row>
    <row r="781">
      <c r="A781" s="132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  <c r="AC781" s="132"/>
      <c r="AD781" s="132"/>
    </row>
    <row r="782">
      <c r="A782" s="132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  <c r="AD782" s="132"/>
    </row>
    <row r="783">
      <c r="A783" s="132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  <c r="AC783" s="132"/>
      <c r="AD783" s="132"/>
    </row>
    <row r="784">
      <c r="A784" s="132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  <c r="AC784" s="132"/>
      <c r="AD784" s="132"/>
    </row>
    <row r="785">
      <c r="A785" s="132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  <c r="AC785" s="132"/>
      <c r="AD785" s="132"/>
    </row>
    <row r="786">
      <c r="A786" s="132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  <c r="AC786" s="132"/>
      <c r="AD786" s="132"/>
    </row>
    <row r="787">
      <c r="A787" s="132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  <c r="AC787" s="132"/>
      <c r="AD787" s="132"/>
    </row>
    <row r="788">
      <c r="A788" s="132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  <c r="AC788" s="132"/>
      <c r="AD788" s="132"/>
    </row>
    <row r="789">
      <c r="A789" s="132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  <c r="AC789" s="132"/>
      <c r="AD789" s="132"/>
    </row>
    <row r="790">
      <c r="A790" s="132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  <c r="AC790" s="132"/>
      <c r="AD790" s="132"/>
    </row>
    <row r="791">
      <c r="A791" s="132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  <c r="AC791" s="132"/>
      <c r="AD791" s="132"/>
    </row>
    <row r="792">
      <c r="A792" s="132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  <c r="AD792" s="132"/>
    </row>
    <row r="793">
      <c r="A793" s="132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  <c r="AC793" s="132"/>
      <c r="AD793" s="132"/>
    </row>
    <row r="794">
      <c r="A794" s="132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  <c r="AC794" s="132"/>
      <c r="AD794" s="132"/>
    </row>
    <row r="795">
      <c r="A795" s="132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  <c r="AC795" s="132"/>
      <c r="AD795" s="132"/>
    </row>
    <row r="796">
      <c r="A796" s="132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  <c r="AC796" s="132"/>
      <c r="AD796" s="132"/>
    </row>
    <row r="797">
      <c r="A797" s="132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  <c r="AC797" s="132"/>
      <c r="AD797" s="132"/>
    </row>
    <row r="798">
      <c r="A798" s="132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  <c r="AC798" s="132"/>
      <c r="AD798" s="132"/>
    </row>
    <row r="799">
      <c r="A799" s="132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  <c r="AC799" s="132"/>
      <c r="AD799" s="132"/>
    </row>
    <row r="800">
      <c r="A800" s="132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  <c r="AC800" s="132"/>
      <c r="AD800" s="132"/>
    </row>
    <row r="801">
      <c r="A801" s="132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  <c r="AC801" s="132"/>
      <c r="AD801" s="132"/>
    </row>
    <row r="802">
      <c r="A802" s="132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  <c r="AC802" s="132"/>
      <c r="AD802" s="132"/>
    </row>
    <row r="803">
      <c r="A803" s="132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  <c r="AC803" s="132"/>
      <c r="AD803" s="132"/>
    </row>
    <row r="804">
      <c r="A804" s="132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  <c r="AC804" s="132"/>
      <c r="AD804" s="132"/>
    </row>
    <row r="805">
      <c r="A805" s="132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  <c r="AC805" s="132"/>
      <c r="AD805" s="132"/>
    </row>
    <row r="806">
      <c r="A806" s="132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  <c r="AC806" s="132"/>
      <c r="AD806" s="132"/>
    </row>
    <row r="807">
      <c r="A807" s="132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  <c r="AC807" s="132"/>
      <c r="AD807" s="132"/>
    </row>
    <row r="808">
      <c r="A808" s="132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  <c r="AC808" s="132"/>
      <c r="AD808" s="132"/>
    </row>
    <row r="809">
      <c r="A809" s="132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  <c r="AC809" s="132"/>
      <c r="AD809" s="132"/>
    </row>
    <row r="810">
      <c r="A810" s="132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  <c r="AC810" s="132"/>
      <c r="AD810" s="132"/>
    </row>
    <row r="811">
      <c r="A811" s="132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  <c r="AC811" s="132"/>
      <c r="AD811" s="132"/>
    </row>
    <row r="812">
      <c r="A812" s="132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  <c r="AC812" s="132"/>
      <c r="AD812" s="132"/>
    </row>
    <row r="813">
      <c r="A813" s="132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  <c r="AC813" s="132"/>
      <c r="AD813" s="132"/>
    </row>
    <row r="814">
      <c r="A814" s="132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  <c r="AC814" s="132"/>
      <c r="AD814" s="132"/>
    </row>
    <row r="815">
      <c r="A815" s="132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  <c r="AC815" s="132"/>
      <c r="AD815" s="132"/>
    </row>
    <row r="816">
      <c r="A816" s="132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  <c r="AC816" s="132"/>
      <c r="AD816" s="132"/>
    </row>
    <row r="817">
      <c r="A817" s="132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  <c r="AC817" s="132"/>
      <c r="AD817" s="132"/>
    </row>
    <row r="818">
      <c r="A818" s="132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  <c r="AC818" s="132"/>
      <c r="AD818" s="132"/>
    </row>
    <row r="819">
      <c r="A819" s="132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  <c r="AC819" s="132"/>
      <c r="AD819" s="132"/>
    </row>
    <row r="820">
      <c r="A820" s="132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  <c r="AC820" s="132"/>
      <c r="AD820" s="132"/>
    </row>
    <row r="821">
      <c r="A821" s="132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  <c r="AC821" s="132"/>
      <c r="AD821" s="132"/>
    </row>
    <row r="822">
      <c r="A822" s="132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  <c r="AC822" s="132"/>
      <c r="AD822" s="132"/>
    </row>
    <row r="823">
      <c r="A823" s="132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  <c r="AC823" s="132"/>
      <c r="AD823" s="132"/>
    </row>
    <row r="824">
      <c r="A824" s="132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  <c r="AC824" s="132"/>
      <c r="AD824" s="132"/>
    </row>
    <row r="825">
      <c r="A825" s="132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  <c r="AC825" s="132"/>
      <c r="AD825" s="132"/>
    </row>
    <row r="826">
      <c r="A826" s="132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  <c r="AC826" s="132"/>
      <c r="AD826" s="132"/>
    </row>
    <row r="827">
      <c r="A827" s="132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  <c r="AC827" s="132"/>
      <c r="AD827" s="132"/>
    </row>
    <row r="828">
      <c r="A828" s="132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  <c r="AC828" s="132"/>
      <c r="AD828" s="132"/>
    </row>
    <row r="829">
      <c r="A829" s="132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2"/>
      <c r="AC829" s="132"/>
      <c r="AD829" s="132"/>
    </row>
    <row r="830">
      <c r="A830" s="132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2"/>
      <c r="AC830" s="132"/>
      <c r="AD830" s="132"/>
    </row>
    <row r="831">
      <c r="A831" s="132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2"/>
      <c r="AC831" s="132"/>
      <c r="AD831" s="132"/>
    </row>
    <row r="832">
      <c r="A832" s="132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  <c r="AB832" s="132"/>
      <c r="AC832" s="132"/>
      <c r="AD832" s="132"/>
    </row>
    <row r="833">
      <c r="A833" s="132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  <c r="AB833" s="132"/>
      <c r="AC833" s="132"/>
      <c r="AD833" s="132"/>
    </row>
    <row r="834">
      <c r="A834" s="132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2"/>
      <c r="AC834" s="132"/>
      <c r="AD834" s="132"/>
    </row>
    <row r="835">
      <c r="A835" s="132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  <c r="AB835" s="132"/>
      <c r="AC835" s="132"/>
      <c r="AD835" s="132"/>
    </row>
    <row r="836">
      <c r="A836" s="132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2"/>
      <c r="AC836" s="132"/>
      <c r="AD836" s="132"/>
    </row>
    <row r="837">
      <c r="A837" s="132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  <c r="AB837" s="132"/>
      <c r="AC837" s="132"/>
      <c r="AD837" s="132"/>
    </row>
    <row r="838">
      <c r="A838" s="132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2"/>
      <c r="AC838" s="132"/>
      <c r="AD838" s="132"/>
    </row>
    <row r="839">
      <c r="A839" s="132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  <c r="AB839" s="132"/>
      <c r="AC839" s="132"/>
      <c r="AD839" s="132"/>
    </row>
    <row r="840">
      <c r="A840" s="132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  <c r="AB840" s="132"/>
      <c r="AC840" s="132"/>
      <c r="AD840" s="132"/>
    </row>
    <row r="841">
      <c r="A841" s="132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  <c r="AB841" s="132"/>
      <c r="AC841" s="132"/>
      <c r="AD841" s="132"/>
    </row>
    <row r="842">
      <c r="A842" s="132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2"/>
      <c r="AC842" s="132"/>
      <c r="AD842" s="132"/>
    </row>
    <row r="843">
      <c r="A843" s="132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  <c r="AB843" s="132"/>
      <c r="AC843" s="132"/>
      <c r="AD843" s="132"/>
    </row>
    <row r="844">
      <c r="A844" s="132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  <c r="AB844" s="132"/>
      <c r="AC844" s="132"/>
      <c r="AD844" s="132"/>
    </row>
    <row r="845">
      <c r="A845" s="132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2"/>
      <c r="AC845" s="132"/>
      <c r="AD845" s="132"/>
    </row>
    <row r="846">
      <c r="A846" s="132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  <c r="AB846" s="132"/>
      <c r="AC846" s="132"/>
      <c r="AD846" s="132"/>
    </row>
    <row r="847">
      <c r="A847" s="132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  <c r="AB847" s="132"/>
      <c r="AC847" s="132"/>
      <c r="AD847" s="132"/>
    </row>
    <row r="848">
      <c r="A848" s="132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  <c r="AB848" s="132"/>
      <c r="AC848" s="132"/>
      <c r="AD848" s="132"/>
    </row>
    <row r="849">
      <c r="A849" s="132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  <c r="AB849" s="132"/>
      <c r="AC849" s="132"/>
      <c r="AD849" s="132"/>
    </row>
    <row r="850">
      <c r="A850" s="132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  <c r="AB850" s="132"/>
      <c r="AC850" s="132"/>
      <c r="AD850" s="132"/>
    </row>
    <row r="851">
      <c r="A851" s="132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  <c r="AB851" s="132"/>
      <c r="AC851" s="132"/>
      <c r="AD851" s="132"/>
    </row>
    <row r="852">
      <c r="A852" s="132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  <c r="AB852" s="132"/>
      <c r="AC852" s="132"/>
      <c r="AD852" s="132"/>
    </row>
    <row r="853">
      <c r="A853" s="132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2"/>
      <c r="AC853" s="132"/>
      <c r="AD853" s="132"/>
    </row>
    <row r="854">
      <c r="A854" s="132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  <c r="AB854" s="132"/>
      <c r="AC854" s="132"/>
      <c r="AD854" s="132"/>
    </row>
    <row r="855">
      <c r="A855" s="132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  <c r="AB855" s="132"/>
      <c r="AC855" s="132"/>
      <c r="AD855" s="132"/>
    </row>
    <row r="856">
      <c r="A856" s="132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2"/>
      <c r="AC856" s="132"/>
      <c r="AD856" s="132"/>
    </row>
    <row r="857">
      <c r="A857" s="132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2"/>
      <c r="AC857" s="132"/>
      <c r="AD857" s="132"/>
    </row>
    <row r="858">
      <c r="A858" s="132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  <c r="AB858" s="132"/>
      <c r="AC858" s="132"/>
      <c r="AD858" s="132"/>
    </row>
    <row r="859">
      <c r="A859" s="132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  <c r="AB859" s="132"/>
      <c r="AC859" s="132"/>
      <c r="AD859" s="132"/>
    </row>
    <row r="860">
      <c r="A860" s="132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  <c r="AB860" s="132"/>
      <c r="AC860" s="132"/>
      <c r="AD860" s="132"/>
    </row>
    <row r="861">
      <c r="A861" s="132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  <c r="AB861" s="132"/>
      <c r="AC861" s="132"/>
      <c r="AD861" s="132"/>
    </row>
    <row r="862">
      <c r="A862" s="132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  <c r="AB862" s="132"/>
      <c r="AC862" s="132"/>
      <c r="AD862" s="132"/>
    </row>
    <row r="863">
      <c r="A863" s="132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  <c r="AB863" s="132"/>
      <c r="AC863" s="132"/>
      <c r="AD863" s="132"/>
    </row>
    <row r="864">
      <c r="A864" s="132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  <c r="AB864" s="132"/>
      <c r="AC864" s="132"/>
      <c r="AD864" s="132"/>
    </row>
    <row r="865">
      <c r="A865" s="132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  <c r="AB865" s="132"/>
      <c r="AC865" s="132"/>
      <c r="AD865" s="132"/>
    </row>
    <row r="866">
      <c r="A866" s="132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  <c r="AB866" s="132"/>
      <c r="AC866" s="132"/>
      <c r="AD866" s="132"/>
    </row>
    <row r="867">
      <c r="A867" s="132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  <c r="AB867" s="132"/>
      <c r="AC867" s="132"/>
      <c r="AD867" s="132"/>
    </row>
    <row r="868">
      <c r="A868" s="132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  <c r="AB868" s="132"/>
      <c r="AC868" s="132"/>
      <c r="AD868" s="132"/>
    </row>
    <row r="869">
      <c r="A869" s="132"/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  <c r="AB869" s="132"/>
      <c r="AC869" s="132"/>
      <c r="AD869" s="132"/>
    </row>
    <row r="870">
      <c r="A870" s="132"/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  <c r="AB870" s="132"/>
      <c r="AC870" s="132"/>
      <c r="AD870" s="132"/>
    </row>
    <row r="871">
      <c r="A871" s="132"/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  <c r="AB871" s="132"/>
      <c r="AC871" s="132"/>
      <c r="AD871" s="132"/>
    </row>
    <row r="872">
      <c r="A872" s="132"/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  <c r="AB872" s="132"/>
      <c r="AC872" s="132"/>
      <c r="AD872" s="132"/>
    </row>
    <row r="873">
      <c r="A873" s="132"/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  <c r="AB873" s="132"/>
      <c r="AC873" s="132"/>
      <c r="AD873" s="132"/>
    </row>
    <row r="874">
      <c r="A874" s="132"/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  <c r="AB874" s="132"/>
      <c r="AC874" s="132"/>
      <c r="AD874" s="132"/>
    </row>
    <row r="875">
      <c r="A875" s="132"/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  <c r="AB875" s="132"/>
      <c r="AC875" s="132"/>
      <c r="AD875" s="132"/>
    </row>
    <row r="876">
      <c r="A876" s="132"/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  <c r="AB876" s="132"/>
      <c r="AC876" s="132"/>
      <c r="AD876" s="132"/>
    </row>
    <row r="877">
      <c r="A877" s="132"/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  <c r="AB877" s="132"/>
      <c r="AC877" s="132"/>
      <c r="AD877" s="132"/>
    </row>
    <row r="878">
      <c r="A878" s="132"/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  <c r="AB878" s="132"/>
      <c r="AC878" s="132"/>
      <c r="AD878" s="132"/>
    </row>
    <row r="879">
      <c r="A879" s="132"/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  <c r="AB879" s="132"/>
      <c r="AC879" s="132"/>
      <c r="AD879" s="132"/>
    </row>
    <row r="880">
      <c r="A880" s="132"/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  <c r="AB880" s="132"/>
      <c r="AC880" s="132"/>
      <c r="AD880" s="132"/>
    </row>
    <row r="881">
      <c r="A881" s="132"/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  <c r="AB881" s="132"/>
      <c r="AC881" s="132"/>
      <c r="AD881" s="132"/>
    </row>
    <row r="882">
      <c r="A882" s="132"/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  <c r="AB882" s="132"/>
      <c r="AC882" s="132"/>
      <c r="AD882" s="132"/>
    </row>
    <row r="883">
      <c r="A883" s="132"/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  <c r="AB883" s="132"/>
      <c r="AC883" s="132"/>
      <c r="AD883" s="132"/>
    </row>
    <row r="884">
      <c r="A884" s="132"/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  <c r="AB884" s="132"/>
      <c r="AC884" s="132"/>
      <c r="AD884" s="132"/>
    </row>
    <row r="885">
      <c r="A885" s="132"/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  <c r="AB885" s="132"/>
      <c r="AC885" s="132"/>
      <c r="AD885" s="132"/>
    </row>
    <row r="886">
      <c r="A886" s="132"/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  <c r="AB886" s="132"/>
      <c r="AC886" s="132"/>
      <c r="AD886" s="132"/>
    </row>
    <row r="887">
      <c r="A887" s="132"/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</row>
    <row r="888">
      <c r="A888" s="132"/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  <c r="AB888" s="132"/>
      <c r="AC888" s="132"/>
      <c r="AD888" s="132"/>
    </row>
    <row r="889">
      <c r="A889" s="132"/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  <c r="AB889" s="132"/>
      <c r="AC889" s="132"/>
      <c r="AD889" s="132"/>
    </row>
    <row r="890">
      <c r="A890" s="132"/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2"/>
      <c r="AC890" s="132"/>
      <c r="AD890" s="132"/>
    </row>
    <row r="891">
      <c r="A891" s="132"/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  <c r="AB891" s="132"/>
      <c r="AC891" s="132"/>
      <c r="AD891" s="132"/>
    </row>
    <row r="892">
      <c r="A892" s="132"/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  <c r="AB892" s="132"/>
      <c r="AC892" s="132"/>
      <c r="AD892" s="132"/>
    </row>
    <row r="893">
      <c r="A893" s="132"/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  <c r="AB893" s="132"/>
      <c r="AC893" s="132"/>
      <c r="AD893" s="132"/>
    </row>
    <row r="894">
      <c r="A894" s="132"/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  <c r="AB894" s="132"/>
      <c r="AC894" s="132"/>
      <c r="AD894" s="132"/>
    </row>
    <row r="895">
      <c r="A895" s="132"/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  <c r="AB895" s="132"/>
      <c r="AC895" s="132"/>
      <c r="AD895" s="132"/>
    </row>
    <row r="896">
      <c r="A896" s="132"/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  <c r="AB896" s="132"/>
      <c r="AC896" s="132"/>
      <c r="AD896" s="132"/>
    </row>
    <row r="897">
      <c r="A897" s="132"/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  <c r="AB897" s="132"/>
      <c r="AC897" s="132"/>
      <c r="AD897" s="132"/>
    </row>
    <row r="898">
      <c r="A898" s="132"/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  <c r="AB898" s="132"/>
      <c r="AC898" s="132"/>
      <c r="AD898" s="132"/>
    </row>
    <row r="899">
      <c r="A899" s="132"/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  <c r="AB899" s="132"/>
      <c r="AC899" s="132"/>
      <c r="AD899" s="132"/>
    </row>
    <row r="900">
      <c r="A900" s="132"/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  <c r="AB900" s="132"/>
      <c r="AC900" s="132"/>
      <c r="AD900" s="132"/>
    </row>
    <row r="901">
      <c r="A901" s="132"/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  <c r="AB901" s="132"/>
      <c r="AC901" s="132"/>
      <c r="AD901" s="132"/>
    </row>
    <row r="902">
      <c r="A902" s="132"/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  <c r="AB902" s="132"/>
      <c r="AC902" s="132"/>
      <c r="AD902" s="132"/>
    </row>
    <row r="903">
      <c r="A903" s="132"/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  <c r="AB903" s="132"/>
      <c r="AC903" s="132"/>
      <c r="AD903" s="132"/>
    </row>
    <row r="904">
      <c r="A904" s="132"/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  <c r="AB904" s="132"/>
      <c r="AC904" s="132"/>
      <c r="AD904" s="132"/>
    </row>
    <row r="905">
      <c r="A905" s="132"/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  <c r="AB905" s="132"/>
      <c r="AC905" s="132"/>
      <c r="AD905" s="132"/>
    </row>
    <row r="906">
      <c r="A906" s="132"/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  <c r="AB906" s="132"/>
      <c r="AC906" s="132"/>
      <c r="AD906" s="132"/>
    </row>
    <row r="907">
      <c r="A907" s="132"/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  <c r="AB907" s="132"/>
      <c r="AC907" s="132"/>
      <c r="AD907" s="132"/>
    </row>
    <row r="908">
      <c r="A908" s="132"/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  <c r="AB908" s="132"/>
      <c r="AC908" s="132"/>
      <c r="AD908" s="132"/>
    </row>
    <row r="909">
      <c r="A909" s="132"/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  <c r="AB909" s="132"/>
      <c r="AC909" s="132"/>
      <c r="AD909" s="132"/>
    </row>
    <row r="910">
      <c r="A910" s="132"/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  <c r="AB910" s="132"/>
      <c r="AC910" s="132"/>
      <c r="AD910" s="132"/>
    </row>
    <row r="911">
      <c r="A911" s="132"/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  <c r="AC911" s="132"/>
      <c r="AD911" s="132"/>
    </row>
    <row r="912">
      <c r="A912" s="132"/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2"/>
      <c r="AC912" s="132"/>
      <c r="AD912" s="132"/>
    </row>
    <row r="913">
      <c r="A913" s="132"/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  <c r="AB913" s="132"/>
      <c r="AC913" s="132"/>
      <c r="AD913" s="132"/>
    </row>
    <row r="914">
      <c r="A914" s="132"/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  <c r="AB914" s="132"/>
      <c r="AC914" s="132"/>
      <c r="AD914" s="132"/>
    </row>
    <row r="915">
      <c r="A915" s="132"/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  <c r="AB915" s="132"/>
      <c r="AC915" s="132"/>
      <c r="AD915" s="132"/>
    </row>
    <row r="916">
      <c r="A916" s="132"/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  <c r="AB916" s="132"/>
      <c r="AC916" s="132"/>
      <c r="AD916" s="132"/>
    </row>
    <row r="917">
      <c r="A917" s="132"/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  <c r="AB917" s="132"/>
      <c r="AC917" s="132"/>
      <c r="AD917" s="132"/>
    </row>
    <row r="918">
      <c r="A918" s="132"/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  <c r="AB918" s="132"/>
      <c r="AC918" s="132"/>
      <c r="AD918" s="132"/>
    </row>
    <row r="919">
      <c r="A919" s="132"/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2"/>
      <c r="AC919" s="132"/>
      <c r="AD919" s="132"/>
    </row>
    <row r="920">
      <c r="A920" s="132"/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  <c r="AB920" s="132"/>
      <c r="AC920" s="132"/>
      <c r="AD920" s="132"/>
    </row>
    <row r="921">
      <c r="A921" s="132"/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  <c r="AB921" s="132"/>
      <c r="AC921" s="132"/>
      <c r="AD921" s="132"/>
    </row>
    <row r="922">
      <c r="A922" s="132"/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  <c r="AB922" s="132"/>
      <c r="AC922" s="132"/>
      <c r="AD922" s="132"/>
    </row>
    <row r="923">
      <c r="A923" s="132"/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  <c r="AB923" s="132"/>
      <c r="AC923" s="132"/>
      <c r="AD923" s="132"/>
    </row>
    <row r="924">
      <c r="A924" s="132"/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  <c r="AB924" s="132"/>
      <c r="AC924" s="132"/>
      <c r="AD924" s="132"/>
    </row>
    <row r="925">
      <c r="A925" s="132"/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  <c r="AB925" s="132"/>
      <c r="AC925" s="132"/>
      <c r="AD925" s="132"/>
    </row>
    <row r="926">
      <c r="A926" s="132"/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  <c r="AB926" s="132"/>
      <c r="AC926" s="132"/>
      <c r="AD926" s="132"/>
    </row>
    <row r="927">
      <c r="A927" s="132"/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  <c r="AB927" s="132"/>
      <c r="AC927" s="132"/>
      <c r="AD927" s="132"/>
    </row>
    <row r="928">
      <c r="A928" s="132"/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  <c r="AB928" s="132"/>
      <c r="AC928" s="132"/>
      <c r="AD928" s="132"/>
    </row>
    <row r="929">
      <c r="A929" s="132"/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  <c r="AB929" s="132"/>
      <c r="AC929" s="132"/>
      <c r="AD929" s="132"/>
    </row>
    <row r="930">
      <c r="A930" s="132"/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  <c r="AB930" s="132"/>
      <c r="AC930" s="132"/>
      <c r="AD930" s="132"/>
    </row>
    <row r="931">
      <c r="A931" s="132"/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  <c r="AB931" s="132"/>
      <c r="AC931" s="132"/>
      <c r="AD931" s="132"/>
    </row>
    <row r="932">
      <c r="A932" s="132"/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2"/>
      <c r="AC932" s="132"/>
      <c r="AD932" s="132"/>
    </row>
    <row r="933">
      <c r="A933" s="132"/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2"/>
      <c r="AC933" s="132"/>
      <c r="AD933" s="132"/>
    </row>
    <row r="934">
      <c r="A934" s="132"/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  <c r="AB934" s="132"/>
      <c r="AC934" s="132"/>
      <c r="AD934" s="132"/>
    </row>
    <row r="935">
      <c r="A935" s="132"/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  <c r="AB935" s="132"/>
      <c r="AC935" s="132"/>
      <c r="AD935" s="132"/>
    </row>
    <row r="936">
      <c r="A936" s="132"/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  <c r="AB936" s="132"/>
      <c r="AC936" s="132"/>
      <c r="AD936" s="132"/>
    </row>
    <row r="937">
      <c r="A937" s="132"/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  <c r="AB937" s="132"/>
      <c r="AC937" s="132"/>
      <c r="AD937" s="132"/>
    </row>
    <row r="938">
      <c r="A938" s="132"/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  <c r="AB938" s="132"/>
      <c r="AC938" s="132"/>
      <c r="AD938" s="132"/>
    </row>
    <row r="939">
      <c r="A939" s="132"/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  <c r="AB939" s="132"/>
      <c r="AC939" s="132"/>
      <c r="AD939" s="132"/>
    </row>
    <row r="940">
      <c r="A940" s="132"/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  <c r="AB940" s="132"/>
      <c r="AC940" s="132"/>
      <c r="AD940" s="132"/>
    </row>
    <row r="941">
      <c r="A941" s="132"/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  <c r="AB941" s="132"/>
      <c r="AC941" s="132"/>
      <c r="AD941" s="132"/>
    </row>
    <row r="942">
      <c r="A942" s="132"/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  <c r="AB942" s="132"/>
      <c r="AC942" s="132"/>
      <c r="AD942" s="132"/>
    </row>
    <row r="943">
      <c r="A943" s="132"/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  <c r="AB943" s="132"/>
      <c r="AC943" s="132"/>
      <c r="AD943" s="132"/>
    </row>
    <row r="944">
      <c r="A944" s="132"/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  <c r="AB944" s="132"/>
      <c r="AC944" s="132"/>
      <c r="AD944" s="132"/>
    </row>
    <row r="945">
      <c r="A945" s="132"/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  <c r="AB945" s="132"/>
      <c r="AC945" s="132"/>
      <c r="AD945" s="132"/>
    </row>
    <row r="946">
      <c r="A946" s="132"/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2"/>
      <c r="AC946" s="132"/>
      <c r="AD946" s="132"/>
    </row>
    <row r="947">
      <c r="A947" s="132"/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  <c r="AB947" s="132"/>
      <c r="AC947" s="132"/>
      <c r="AD947" s="132"/>
    </row>
    <row r="948">
      <c r="A948" s="132"/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  <c r="AB948" s="132"/>
      <c r="AC948" s="132"/>
      <c r="AD948" s="132"/>
    </row>
    <row r="949">
      <c r="A949" s="132"/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  <c r="AB949" s="132"/>
      <c r="AC949" s="132"/>
      <c r="AD949" s="132"/>
    </row>
    <row r="950">
      <c r="A950" s="132"/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  <c r="AB950" s="132"/>
      <c r="AC950" s="132"/>
      <c r="AD950" s="132"/>
    </row>
    <row r="951">
      <c r="A951" s="132"/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  <c r="AB951" s="132"/>
      <c r="AC951" s="132"/>
      <c r="AD951" s="132"/>
    </row>
    <row r="952">
      <c r="A952" s="132"/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  <c r="AB952" s="132"/>
      <c r="AC952" s="132"/>
      <c r="AD952" s="132"/>
    </row>
    <row r="953">
      <c r="A953" s="132"/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  <c r="AB953" s="132"/>
      <c r="AC953" s="132"/>
      <c r="AD953" s="132"/>
    </row>
    <row r="954">
      <c r="A954" s="132"/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  <c r="AB954" s="132"/>
      <c r="AC954" s="132"/>
      <c r="AD954" s="132"/>
    </row>
    <row r="955">
      <c r="A955" s="132"/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  <c r="AB955" s="132"/>
      <c r="AC955" s="132"/>
      <c r="AD955" s="132"/>
    </row>
    <row r="956">
      <c r="A956" s="132"/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  <c r="AB956" s="132"/>
      <c r="AC956" s="132"/>
      <c r="AD956" s="132"/>
    </row>
    <row r="957">
      <c r="A957" s="132"/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  <c r="AB957" s="132"/>
      <c r="AC957" s="132"/>
      <c r="AD957" s="132"/>
    </row>
    <row r="958">
      <c r="A958" s="132"/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  <c r="AB958" s="132"/>
      <c r="AC958" s="132"/>
      <c r="AD958" s="132"/>
    </row>
    <row r="959">
      <c r="A959" s="132"/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  <c r="AB959" s="132"/>
      <c r="AC959" s="132"/>
      <c r="AD959" s="132"/>
    </row>
    <row r="960">
      <c r="A960" s="132"/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  <c r="AB960" s="132"/>
      <c r="AC960" s="132"/>
      <c r="AD960" s="132"/>
    </row>
    <row r="961">
      <c r="A961" s="132"/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  <c r="AB961" s="132"/>
      <c r="AC961" s="132"/>
      <c r="AD961" s="132"/>
    </row>
    <row r="962">
      <c r="A962" s="132"/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  <c r="AB962" s="132"/>
      <c r="AC962" s="132"/>
      <c r="AD962" s="132"/>
    </row>
    <row r="963">
      <c r="A963" s="132"/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  <c r="AB963" s="132"/>
      <c r="AC963" s="132"/>
      <c r="AD963" s="132"/>
    </row>
    <row r="964">
      <c r="A964" s="132"/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  <c r="AB964" s="132"/>
      <c r="AC964" s="132"/>
      <c r="AD964" s="132"/>
    </row>
    <row r="965">
      <c r="A965" s="132"/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  <c r="AB965" s="132"/>
      <c r="AC965" s="132"/>
      <c r="AD965" s="132"/>
    </row>
    <row r="966">
      <c r="A966" s="132"/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  <c r="AB966" s="132"/>
      <c r="AC966" s="132"/>
      <c r="AD966" s="132"/>
    </row>
    <row r="967">
      <c r="A967" s="132"/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  <c r="AB967" s="132"/>
      <c r="AC967" s="132"/>
      <c r="AD967" s="132"/>
    </row>
    <row r="968">
      <c r="A968" s="132"/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  <c r="AB968" s="132"/>
      <c r="AC968" s="132"/>
      <c r="AD968" s="132"/>
    </row>
    <row r="969">
      <c r="A969" s="132"/>
      <c r="B969" s="132"/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  <c r="AB969" s="132"/>
      <c r="AC969" s="132"/>
      <c r="AD969" s="132"/>
    </row>
    <row r="970">
      <c r="A970" s="132"/>
      <c r="B970" s="132"/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  <c r="AB970" s="132"/>
      <c r="AC970" s="132"/>
      <c r="AD970" s="132"/>
    </row>
    <row r="971">
      <c r="A971" s="132"/>
      <c r="B971" s="132"/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  <c r="AB971" s="132"/>
      <c r="AC971" s="132"/>
      <c r="AD971" s="132"/>
    </row>
    <row r="972">
      <c r="A972" s="132"/>
      <c r="B972" s="132"/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  <c r="AB972" s="132"/>
      <c r="AC972" s="132"/>
      <c r="AD972" s="132"/>
    </row>
    <row r="973">
      <c r="A973" s="132"/>
      <c r="B973" s="132"/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  <c r="AB973" s="132"/>
      <c r="AC973" s="132"/>
      <c r="AD973" s="132"/>
    </row>
    <row r="974">
      <c r="A974" s="132"/>
      <c r="B974" s="132"/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2"/>
      <c r="AC974" s="132"/>
      <c r="AD974" s="132"/>
    </row>
    <row r="975">
      <c r="A975" s="132"/>
      <c r="B975" s="132"/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2"/>
      <c r="AC975" s="132"/>
      <c r="AD975" s="132"/>
    </row>
    <row r="976">
      <c r="A976" s="132"/>
      <c r="B976" s="132"/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  <c r="AB976" s="132"/>
      <c r="AC976" s="132"/>
      <c r="AD976" s="132"/>
    </row>
    <row r="977">
      <c r="A977" s="132"/>
      <c r="B977" s="132"/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  <c r="AB977" s="132"/>
      <c r="AC977" s="132"/>
      <c r="AD977" s="132"/>
    </row>
    <row r="978">
      <c r="A978" s="132"/>
      <c r="B978" s="132"/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  <c r="AB978" s="132"/>
      <c r="AC978" s="132"/>
      <c r="AD978" s="132"/>
    </row>
    <row r="979">
      <c r="A979" s="132"/>
      <c r="B979" s="132"/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  <c r="AB979" s="132"/>
      <c r="AC979" s="132"/>
      <c r="AD979" s="132"/>
    </row>
    <row r="980">
      <c r="A980" s="132"/>
      <c r="B980" s="132"/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  <c r="AB980" s="132"/>
      <c r="AC980" s="132"/>
      <c r="AD980" s="132"/>
    </row>
    <row r="981">
      <c r="A981" s="132"/>
      <c r="B981" s="132"/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  <c r="AB981" s="132"/>
      <c r="AC981" s="132"/>
      <c r="AD981" s="132"/>
    </row>
    <row r="982">
      <c r="A982" s="132"/>
      <c r="B982" s="132"/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  <c r="AB982" s="132"/>
      <c r="AC982" s="132"/>
      <c r="AD982" s="132"/>
    </row>
    <row r="983">
      <c r="A983" s="132"/>
      <c r="B983" s="132"/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  <c r="AB983" s="132"/>
      <c r="AC983" s="132"/>
      <c r="AD983" s="132"/>
    </row>
    <row r="984">
      <c r="A984" s="132"/>
      <c r="B984" s="132"/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  <c r="AB984" s="132"/>
      <c r="AC984" s="132"/>
      <c r="AD984" s="132"/>
    </row>
    <row r="985">
      <c r="A985" s="132"/>
      <c r="B985" s="132"/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  <c r="AB985" s="132"/>
      <c r="AC985" s="132"/>
      <c r="AD985" s="132"/>
    </row>
    <row r="986">
      <c r="A986" s="132"/>
      <c r="B986" s="132"/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  <c r="AB986" s="132"/>
      <c r="AC986" s="132"/>
      <c r="AD986" s="132"/>
    </row>
    <row r="987">
      <c r="A987" s="132"/>
      <c r="B987" s="132"/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  <c r="AB987" s="132"/>
      <c r="AC987" s="132"/>
      <c r="AD987" s="132"/>
    </row>
    <row r="988">
      <c r="A988" s="132"/>
      <c r="B988" s="132"/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  <c r="AB988" s="132"/>
      <c r="AC988" s="132"/>
      <c r="AD988" s="132"/>
    </row>
    <row r="989">
      <c r="A989" s="132"/>
      <c r="B989" s="132"/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  <c r="AB989" s="132"/>
      <c r="AC989" s="132"/>
      <c r="AD989" s="132"/>
    </row>
    <row r="990">
      <c r="A990" s="132"/>
      <c r="B990" s="132"/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  <c r="AA990" s="132"/>
      <c r="AB990" s="132"/>
      <c r="AC990" s="132"/>
      <c r="AD990" s="132"/>
    </row>
    <row r="991">
      <c r="A991" s="132"/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  <c r="AB991" s="132"/>
      <c r="AC991" s="132"/>
      <c r="AD991" s="132"/>
    </row>
    <row r="992">
      <c r="A992" s="132"/>
      <c r="B992" s="132"/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  <c r="AA992" s="132"/>
      <c r="AB992" s="132"/>
      <c r="AC992" s="132"/>
      <c r="AD992" s="132"/>
    </row>
    <row r="993">
      <c r="A993" s="132"/>
      <c r="B993" s="132"/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  <c r="AA993" s="132"/>
      <c r="AB993" s="132"/>
      <c r="AC993" s="132"/>
      <c r="AD993" s="132"/>
    </row>
    <row r="994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  <c r="AA994" s="151"/>
      <c r="AB994" s="151"/>
      <c r="AC994" s="151"/>
      <c r="AD994" s="151"/>
    </row>
    <row r="99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  <c r="AA995" s="151"/>
      <c r="AB995" s="151"/>
      <c r="AC995" s="151"/>
      <c r="AD995" s="151"/>
    </row>
    <row r="996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  <c r="AA996" s="151"/>
      <c r="AB996" s="151"/>
      <c r="AC996" s="151"/>
      <c r="AD996" s="151"/>
    </row>
    <row r="997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  <c r="AA997" s="151"/>
      <c r="AB997" s="151"/>
      <c r="AC997" s="151"/>
      <c r="AD997" s="151"/>
    </row>
    <row r="998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  <c r="AA998" s="151"/>
      <c r="AB998" s="151"/>
      <c r="AC998" s="151"/>
      <c r="AD998" s="151"/>
    </row>
    <row r="999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  <c r="AA999" s="151"/>
      <c r="AB999" s="151"/>
      <c r="AC999" s="151"/>
      <c r="AD999" s="151"/>
    </row>
    <row r="1000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  <c r="AA1000" s="151"/>
      <c r="AB1000" s="151"/>
      <c r="AC1000" s="151"/>
      <c r="AD1000" s="151"/>
    </row>
  </sheetData>
  <mergeCells count="4">
    <mergeCell ref="B1:B2"/>
    <mergeCell ref="B4:B5"/>
    <mergeCell ref="B14:D14"/>
    <mergeCell ref="B16:D16"/>
  </mergeCells>
  <dataValidations>
    <dataValidation type="list" allowBlank="1" sqref="G9:G10 J9:J10 G12:G13 J12:J13 G15 J15 G17 J17 G19">
      <formula1>"Pass,Fail,Untested"</formula1>
    </dataValidation>
    <dataValidation type="list" allowBlank="1" showInputMessage="1" showErrorMessage="1" prompt=" - " sqref="L4:L5">
      <formula1>"Fatal,Major,Minor,Cosmetic"</formula1>
    </dataValidation>
    <dataValidation type="list" allowBlank="1" showInputMessage="1" showErrorMessage="1" prompt=" - " sqref="L9:L10 L12:L13 L15 L17 L19">
      <formula1>"Critical,Major,Minor,Cosmetic"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17.75"/>
    <col customWidth="1" min="3" max="3" width="28.13"/>
    <col customWidth="1" min="4" max="4" width="30.5"/>
    <col customWidth="1" min="5" max="5" width="17.13"/>
    <col customWidth="1" min="6" max="6" width="16.5"/>
    <col customWidth="1" min="7" max="7" width="20.75"/>
    <col customWidth="1" min="8" max="8" width="11.5"/>
    <col customWidth="1" min="9" max="26" width="8.0"/>
  </cols>
  <sheetData>
    <row r="1" ht="15.0" customHeight="1">
      <c r="A1" s="152" t="s">
        <v>17</v>
      </c>
      <c r="B1" s="153"/>
      <c r="C1" s="153"/>
      <c r="D1" s="153"/>
      <c r="E1" s="153"/>
      <c r="F1" s="153"/>
      <c r="G1" s="154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36.75" customHeight="1">
      <c r="A2" s="155" t="s">
        <v>286</v>
      </c>
      <c r="B2" s="156"/>
      <c r="C2" s="156"/>
      <c r="D2" s="156"/>
      <c r="E2" s="156"/>
      <c r="F2" s="156"/>
      <c r="G2" s="157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3.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5.5" customHeight="1">
      <c r="A4" s="60" t="s">
        <v>19</v>
      </c>
      <c r="B4" s="158" t="s">
        <v>20</v>
      </c>
      <c r="C4" s="159"/>
      <c r="D4" s="60" t="s">
        <v>21</v>
      </c>
      <c r="E4" s="60" t="s">
        <v>160</v>
      </c>
      <c r="F4" s="60" t="s">
        <v>23</v>
      </c>
      <c r="G4" s="60" t="s">
        <v>24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2.75" customHeight="1">
      <c r="A5" s="160" t="s">
        <v>287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161" t="s">
        <v>162</v>
      </c>
      <c r="B6" s="162"/>
      <c r="C6" s="162"/>
      <c r="D6" s="162"/>
      <c r="E6" s="162"/>
      <c r="F6" s="162"/>
      <c r="G6" s="162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2.75" customHeight="1">
      <c r="A7" s="161" t="s">
        <v>288</v>
      </c>
      <c r="B7" s="162"/>
      <c r="C7" s="162"/>
      <c r="D7" s="162"/>
      <c r="E7" s="162"/>
      <c r="F7" s="162"/>
      <c r="G7" s="162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3.5" customHeight="1">
      <c r="A8" s="163"/>
      <c r="B8" s="164"/>
      <c r="C8" s="164"/>
      <c r="D8" s="164"/>
      <c r="E8" s="164"/>
      <c r="F8" s="164"/>
      <c r="G8" s="164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29">
        <v>1.0</v>
      </c>
      <c r="B9" s="165" t="s">
        <v>289</v>
      </c>
      <c r="C9" s="8"/>
      <c r="D9" s="29"/>
      <c r="E9" s="23"/>
      <c r="F9" s="166"/>
      <c r="G9" s="167"/>
      <c r="H9" s="168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46.5" customHeight="1">
      <c r="A10" s="29">
        <v>2.0</v>
      </c>
      <c r="B10" s="165" t="s">
        <v>290</v>
      </c>
      <c r="C10" s="8"/>
      <c r="D10" s="29" t="s">
        <v>291</v>
      </c>
      <c r="E10" s="23"/>
      <c r="F10" s="166"/>
      <c r="G10" s="169" t="s">
        <v>30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2.75" customHeight="1">
      <c r="A11" s="160" t="s">
        <v>292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75" customHeight="1">
      <c r="A12" s="161" t="s">
        <v>162</v>
      </c>
      <c r="B12" s="162"/>
      <c r="C12" s="162"/>
      <c r="D12" s="162"/>
      <c r="E12" s="162"/>
      <c r="F12" s="162"/>
      <c r="G12" s="162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75" customHeight="1">
      <c r="A13" s="161" t="s">
        <v>293</v>
      </c>
      <c r="B13" s="162"/>
      <c r="C13" s="162"/>
      <c r="D13" s="162"/>
      <c r="E13" s="162"/>
      <c r="F13" s="162"/>
      <c r="G13" s="162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3.5" customHeight="1">
      <c r="A14" s="163"/>
      <c r="B14" s="164"/>
      <c r="C14" s="164"/>
      <c r="D14" s="164"/>
      <c r="E14" s="164"/>
      <c r="F14" s="164"/>
      <c r="G14" s="164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75" customHeight="1">
      <c r="A15" s="29">
        <v>1.0</v>
      </c>
      <c r="B15" s="165" t="s">
        <v>289</v>
      </c>
      <c r="C15" s="8"/>
      <c r="D15" s="29"/>
      <c r="E15" s="23"/>
      <c r="F15" s="166"/>
      <c r="G15" s="167"/>
      <c r="H15" s="168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39.0" customHeight="1">
      <c r="A16" s="29">
        <v>2.0</v>
      </c>
      <c r="B16" s="165" t="s">
        <v>294</v>
      </c>
      <c r="C16" s="8"/>
      <c r="D16" s="29" t="s">
        <v>295</v>
      </c>
      <c r="E16" s="23"/>
      <c r="F16" s="166"/>
      <c r="G16" s="169" t="s">
        <v>30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75" customHeight="1">
      <c r="A17" s="160" t="s">
        <v>296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75" customHeight="1">
      <c r="A18" s="161" t="s">
        <v>162</v>
      </c>
      <c r="B18" s="162"/>
      <c r="C18" s="162"/>
      <c r="D18" s="162"/>
      <c r="E18" s="162"/>
      <c r="F18" s="162"/>
      <c r="G18" s="162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161" t="s">
        <v>293</v>
      </c>
      <c r="B19" s="162"/>
      <c r="C19" s="162"/>
      <c r="D19" s="162"/>
      <c r="E19" s="162"/>
      <c r="F19" s="162"/>
      <c r="G19" s="162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3.5" customHeight="1">
      <c r="A20" s="163"/>
      <c r="B20" s="164"/>
      <c r="C20" s="164"/>
      <c r="D20" s="164"/>
      <c r="E20" s="164"/>
      <c r="F20" s="164"/>
      <c r="G20" s="164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29">
        <v>1.0</v>
      </c>
      <c r="B21" s="170" t="s">
        <v>289</v>
      </c>
      <c r="C21" s="8"/>
      <c r="D21" s="29"/>
      <c r="E21" s="23"/>
      <c r="F21" s="166"/>
      <c r="G21" s="167"/>
      <c r="H21" s="168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39.0" customHeight="1">
      <c r="A22" s="29">
        <v>2.0</v>
      </c>
      <c r="B22" s="170" t="s">
        <v>297</v>
      </c>
      <c r="C22" s="8"/>
      <c r="D22" s="29" t="s">
        <v>298</v>
      </c>
      <c r="E22" s="23"/>
      <c r="F22" s="166"/>
      <c r="G22" s="169" t="s">
        <v>30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>
      <c r="A23" s="160" t="s">
        <v>299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>
      <c r="A24" s="161" t="s">
        <v>162</v>
      </c>
      <c r="B24" s="162"/>
      <c r="C24" s="162"/>
      <c r="D24" s="162"/>
      <c r="E24" s="162"/>
      <c r="F24" s="162"/>
      <c r="G24" s="162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75" customHeight="1">
      <c r="A25" s="161" t="s">
        <v>293</v>
      </c>
      <c r="B25" s="162"/>
      <c r="C25" s="162"/>
      <c r="D25" s="162"/>
      <c r="E25" s="162"/>
      <c r="F25" s="162"/>
      <c r="G25" s="16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3.5" customHeight="1">
      <c r="A26" s="163"/>
      <c r="B26" s="164"/>
      <c r="C26" s="164"/>
      <c r="D26" s="164"/>
      <c r="E26" s="164"/>
      <c r="F26" s="164"/>
      <c r="G26" s="164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29">
        <v>1.0</v>
      </c>
      <c r="B27" s="170" t="s">
        <v>300</v>
      </c>
      <c r="C27" s="8"/>
      <c r="D27" s="29"/>
      <c r="E27" s="23"/>
      <c r="F27" s="166"/>
      <c r="G27" s="167"/>
      <c r="H27" s="168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39.0" customHeight="1">
      <c r="A28" s="29">
        <v>2.0</v>
      </c>
      <c r="B28" s="170" t="s">
        <v>301</v>
      </c>
      <c r="C28" s="8"/>
      <c r="D28" s="29" t="s">
        <v>302</v>
      </c>
      <c r="E28" s="23"/>
      <c r="F28" s="166"/>
      <c r="G28" s="169" t="s">
        <v>30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75" customHeight="1">
      <c r="A29" s="160" t="s">
        <v>303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161" t="s">
        <v>162</v>
      </c>
      <c r="B30" s="162"/>
      <c r="C30" s="162"/>
      <c r="D30" s="162"/>
      <c r="E30" s="162"/>
      <c r="F30" s="162"/>
      <c r="G30" s="162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161" t="s">
        <v>293</v>
      </c>
      <c r="B31" s="162"/>
      <c r="C31" s="162"/>
      <c r="D31" s="162"/>
      <c r="E31" s="162"/>
      <c r="F31" s="162"/>
      <c r="G31" s="162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3.5" customHeight="1">
      <c r="A32" s="163"/>
      <c r="B32" s="164"/>
      <c r="C32" s="164"/>
      <c r="D32" s="164"/>
      <c r="E32" s="164"/>
      <c r="F32" s="164"/>
      <c r="G32" s="164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>
      <c r="A33" s="29">
        <v>1.0</v>
      </c>
      <c r="B33" s="170" t="s">
        <v>289</v>
      </c>
      <c r="C33" s="8"/>
      <c r="D33" s="29"/>
      <c r="E33" s="23"/>
      <c r="F33" s="166"/>
      <c r="G33" s="167"/>
      <c r="H33" s="168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39.0" customHeight="1">
      <c r="A34" s="29">
        <v>2.0</v>
      </c>
      <c r="B34" s="170" t="s">
        <v>304</v>
      </c>
      <c r="C34" s="8"/>
      <c r="D34" s="29" t="s">
        <v>298</v>
      </c>
      <c r="E34" s="23"/>
      <c r="F34" s="166"/>
      <c r="G34" s="169" t="s">
        <v>30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</sheetData>
  <mergeCells count="33">
    <mergeCell ref="A1:G1"/>
    <mergeCell ref="A2:G2"/>
    <mergeCell ref="B4:C4"/>
    <mergeCell ref="A5:G5"/>
    <mergeCell ref="A6:G6"/>
    <mergeCell ref="A7:G7"/>
    <mergeCell ref="A8:G8"/>
    <mergeCell ref="B9:C9"/>
    <mergeCell ref="B10:C10"/>
    <mergeCell ref="A11:G11"/>
    <mergeCell ref="A12:G12"/>
    <mergeCell ref="A13:G13"/>
    <mergeCell ref="A14:G14"/>
    <mergeCell ref="B15:C15"/>
    <mergeCell ref="B16:C16"/>
    <mergeCell ref="A17:G17"/>
    <mergeCell ref="A18:G18"/>
    <mergeCell ref="A19:G19"/>
    <mergeCell ref="A20:G20"/>
    <mergeCell ref="B21:C21"/>
    <mergeCell ref="B22:C22"/>
    <mergeCell ref="A30:G30"/>
    <mergeCell ref="A31:G31"/>
    <mergeCell ref="A32:G32"/>
    <mergeCell ref="B33:C33"/>
    <mergeCell ref="B34:C34"/>
    <mergeCell ref="A23:G23"/>
    <mergeCell ref="A24:G24"/>
    <mergeCell ref="A25:G25"/>
    <mergeCell ref="A26:G26"/>
    <mergeCell ref="B27:C27"/>
    <mergeCell ref="B28:C28"/>
    <mergeCell ref="A29:G29"/>
  </mergeCells>
  <dataValidations>
    <dataValidation type="list" allowBlank="1" sqref="G9:G10 G15:G16 G21:G22 G27:G28 G33:G34">
      <formula1>"Developing,Tested"</formula1>
    </dataValidation>
  </dataValidations>
  <hyperlinks>
    <hyperlink display="Scenario 1:   Lọc sản phẩm theo Đang kinh doanh" location="'FUNC TC_LỌC SẢN PHẨM'!A9:B9" ref="A5"/>
    <hyperlink display="Scenario 2: Lọc sản phẩm theo Ngừng kinh doanh" location="'FUNC TC_LỌC SẢN PHẨM'!A12:B12" ref="A11"/>
    <hyperlink display="Scenario 3: Lọc sản phẩm theo Ngừng kinh doanh sau khi tìm kiếm " location="'FUNC TC_LỌC SẢN PHẨM'!A15:L15" ref="A17"/>
    <hyperlink display="Scenario 4: Lọc sản phẩm theo Tất cả trạng thái sau khi lọc các trạng thái khác" location="'FUNC TC_LỌC SẢN PHẨM'!A20:L20" ref="A23"/>
    <hyperlink display="Scenario 5: Lọc sản phẩm theo Đang kinh doanh sau khi tìm kiếm " location="'FUNC TC_LỌC SẢN PHẨM'!A25:L25" ref="A29"/>
  </hyperlink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5"/>
    <col customWidth="1" min="2" max="2" width="25.5"/>
    <col customWidth="1" min="3" max="3" width="23.5"/>
    <col customWidth="1" min="4" max="4" width="30.5"/>
    <col customWidth="1" min="5" max="5" width="27.13"/>
    <col customWidth="1" min="6" max="6" width="36.5"/>
    <col customWidth="1" min="7" max="7" width="8.5"/>
    <col customWidth="1" min="8" max="8" width="8.0"/>
    <col customWidth="1" min="9" max="9" width="24.13"/>
    <col customWidth="1" min="10" max="11" width="8.0"/>
    <col customWidth="1" min="12" max="12" width="8.88"/>
    <col customWidth="1" min="13" max="30" width="8.0"/>
  </cols>
  <sheetData>
    <row r="1" ht="22.5" customHeight="1">
      <c r="A1" s="50"/>
      <c r="B1" s="51" t="s">
        <v>63</v>
      </c>
      <c r="C1" s="52" t="s">
        <v>64</v>
      </c>
      <c r="D1" s="52" t="s">
        <v>65</v>
      </c>
      <c r="E1" s="52" t="s">
        <v>66</v>
      </c>
      <c r="F1" s="52" t="s">
        <v>67</v>
      </c>
      <c r="G1" s="50"/>
      <c r="H1" s="21"/>
      <c r="I1" s="21"/>
      <c r="J1" s="21"/>
      <c r="K1" s="21"/>
      <c r="L1" s="50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ht="22.5" customHeight="1">
      <c r="A2" s="50"/>
      <c r="B2" s="53"/>
      <c r="C2" s="54">
        <f>COUNTIF(G1:G227,"Pass")</f>
        <v>8</v>
      </c>
      <c r="D2" s="54">
        <f>COUNTIF(G1:G227,"Fail")</f>
        <v>0</v>
      </c>
      <c r="E2" s="54">
        <f>COUNTIF(G1:G227,"Untested")</f>
        <v>0</v>
      </c>
      <c r="F2" s="54">
        <f>SUM(C2,D2,E2)</f>
        <v>8</v>
      </c>
      <c r="G2" s="50"/>
      <c r="H2" s="21"/>
      <c r="I2" s="21"/>
      <c r="J2" s="21"/>
      <c r="K2" s="21"/>
      <c r="L2" s="50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ht="22.5" customHeight="1">
      <c r="A3" s="50"/>
      <c r="B3" s="50"/>
      <c r="C3" s="50"/>
      <c r="D3" s="50"/>
      <c r="E3" s="50"/>
      <c r="F3" s="50"/>
      <c r="G3" s="50"/>
      <c r="H3" s="21"/>
      <c r="I3" s="21"/>
      <c r="J3" s="21"/>
      <c r="K3" s="21"/>
      <c r="L3" s="50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22.5" customHeight="1">
      <c r="A4" s="39"/>
      <c r="B4" s="114" t="s">
        <v>171</v>
      </c>
      <c r="C4" s="115" t="s">
        <v>64</v>
      </c>
      <c r="D4" s="115" t="s">
        <v>65</v>
      </c>
      <c r="E4" s="115" t="s">
        <v>66</v>
      </c>
      <c r="F4" s="115" t="s">
        <v>67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</row>
    <row r="5" ht="22.5" customHeight="1">
      <c r="A5" s="39"/>
      <c r="B5" s="58"/>
      <c r="C5" s="116">
        <f>COUNTIF(J4:J233,"Pass")</f>
        <v>8</v>
      </c>
      <c r="D5" s="116">
        <f>COUNTIF(J4:J233,"Fail")</f>
        <v>0</v>
      </c>
      <c r="E5" s="116">
        <f>COUNTIF(J4:J233,"Untested")</f>
        <v>0</v>
      </c>
      <c r="F5" s="116">
        <f>SUM(C5,D5,E5)</f>
        <v>8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</row>
    <row r="6" ht="22.5" customHeight="1">
      <c r="A6" s="50"/>
      <c r="B6" s="50"/>
      <c r="C6" s="50"/>
      <c r="D6" s="50"/>
      <c r="E6" s="50"/>
      <c r="F6" s="50"/>
      <c r="G6" s="50"/>
      <c r="H6" s="21"/>
      <c r="I6" s="21"/>
      <c r="J6" s="21"/>
      <c r="K6" s="21"/>
      <c r="L6" s="50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ht="22.5" customHeight="1">
      <c r="A7" s="50"/>
      <c r="B7" s="50"/>
      <c r="C7" s="50"/>
      <c r="D7" s="50"/>
      <c r="E7" s="50"/>
      <c r="F7" s="50"/>
      <c r="G7" s="50"/>
      <c r="H7" s="21"/>
      <c r="I7" s="21"/>
      <c r="J7" s="21"/>
      <c r="K7" s="21"/>
      <c r="L7" s="50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ht="83.25" customHeight="1">
      <c r="A8" s="171" t="s">
        <v>69</v>
      </c>
      <c r="B8" s="60" t="s">
        <v>70</v>
      </c>
      <c r="C8" s="60" t="s">
        <v>71</v>
      </c>
      <c r="D8" s="60" t="s">
        <v>72</v>
      </c>
      <c r="E8" s="60" t="s">
        <v>73</v>
      </c>
      <c r="F8" s="60" t="s">
        <v>74</v>
      </c>
      <c r="G8" s="60" t="s">
        <v>75</v>
      </c>
      <c r="H8" s="61" t="s">
        <v>76</v>
      </c>
      <c r="I8" s="61" t="s">
        <v>305</v>
      </c>
      <c r="J8" s="61" t="s">
        <v>78</v>
      </c>
      <c r="K8" s="61" t="s">
        <v>79</v>
      </c>
      <c r="L8" s="172" t="s">
        <v>80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ht="22.5" customHeight="1">
      <c r="A9" s="173" t="s">
        <v>81</v>
      </c>
      <c r="B9" s="174" t="s">
        <v>306</v>
      </c>
      <c r="C9" s="175"/>
      <c r="D9" s="175"/>
      <c r="E9" s="175"/>
      <c r="F9" s="175"/>
      <c r="G9" s="175"/>
      <c r="H9" s="175"/>
      <c r="I9" s="175"/>
      <c r="J9" s="175"/>
      <c r="K9" s="175"/>
      <c r="L9" s="176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ht="66.0" customHeight="1">
      <c r="A10" s="177" t="s">
        <v>307</v>
      </c>
      <c r="B10" s="120" t="s">
        <v>306</v>
      </c>
      <c r="C10" s="120" t="s">
        <v>83</v>
      </c>
      <c r="D10" s="142" t="s">
        <v>308</v>
      </c>
      <c r="E10" s="29" t="s">
        <v>309</v>
      </c>
      <c r="F10" s="29" t="s">
        <v>309</v>
      </c>
      <c r="G10" s="120" t="s">
        <v>64</v>
      </c>
      <c r="H10" s="178">
        <v>46127.0</v>
      </c>
      <c r="I10" s="29" t="s">
        <v>309</v>
      </c>
      <c r="J10" s="120" t="s">
        <v>64</v>
      </c>
      <c r="K10" s="178">
        <v>46130.0</v>
      </c>
      <c r="L10" s="179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ht="49.5" customHeight="1">
      <c r="A11" s="180"/>
      <c r="B11" s="34"/>
      <c r="C11" s="34"/>
      <c r="D11" s="142" t="s">
        <v>310</v>
      </c>
      <c r="E11" s="29" t="s">
        <v>311</v>
      </c>
      <c r="F11" s="29" t="s">
        <v>311</v>
      </c>
      <c r="G11" s="34"/>
      <c r="H11" s="34"/>
      <c r="I11" s="29" t="s">
        <v>311</v>
      </c>
      <c r="J11" s="34"/>
      <c r="K11" s="34"/>
      <c r="L11" s="18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ht="22.5" customHeight="1">
      <c r="A12" s="173" t="s">
        <v>97</v>
      </c>
      <c r="B12" s="174" t="s">
        <v>312</v>
      </c>
      <c r="C12" s="175"/>
      <c r="D12" s="175"/>
      <c r="E12" s="175"/>
      <c r="F12" s="175"/>
      <c r="G12" s="175"/>
      <c r="H12" s="175"/>
      <c r="I12" s="175"/>
      <c r="J12" s="175"/>
      <c r="K12" s="175"/>
      <c r="L12" s="176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ht="39.0" customHeight="1">
      <c r="A13" s="177" t="s">
        <v>313</v>
      </c>
      <c r="B13" s="120" t="s">
        <v>312</v>
      </c>
      <c r="C13" s="120" t="s">
        <v>83</v>
      </c>
      <c r="D13" s="142" t="s">
        <v>308</v>
      </c>
      <c r="E13" s="29" t="s">
        <v>309</v>
      </c>
      <c r="F13" s="29" t="s">
        <v>309</v>
      </c>
      <c r="G13" s="120" t="s">
        <v>64</v>
      </c>
      <c r="H13" s="178">
        <v>46127.0</v>
      </c>
      <c r="I13" s="29" t="s">
        <v>309</v>
      </c>
      <c r="J13" s="120" t="s">
        <v>64</v>
      </c>
      <c r="K13" s="178">
        <v>46130.0</v>
      </c>
      <c r="L13" s="179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ht="39.0" customHeight="1">
      <c r="A14" s="180"/>
      <c r="B14" s="34"/>
      <c r="C14" s="34"/>
      <c r="D14" s="142" t="s">
        <v>314</v>
      </c>
      <c r="E14" s="29" t="s">
        <v>315</v>
      </c>
      <c r="F14" s="29" t="s">
        <v>315</v>
      </c>
      <c r="G14" s="34"/>
      <c r="H14" s="34"/>
      <c r="I14" s="29" t="s">
        <v>315</v>
      </c>
      <c r="J14" s="34"/>
      <c r="K14" s="34"/>
      <c r="L14" s="18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ht="22.5" customHeight="1">
      <c r="A15" s="173" t="s">
        <v>109</v>
      </c>
      <c r="B15" s="63" t="s">
        <v>316</v>
      </c>
      <c r="C15" s="20"/>
      <c r="D15" s="20"/>
      <c r="E15" s="20"/>
      <c r="F15" s="20"/>
      <c r="G15" s="20"/>
      <c r="H15" s="20"/>
      <c r="I15" s="20"/>
      <c r="J15" s="20"/>
      <c r="K15" s="20"/>
      <c r="L15" s="15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ht="39.0" customHeight="1">
      <c r="A16" s="177" t="s">
        <v>317</v>
      </c>
      <c r="B16" s="120" t="s">
        <v>318</v>
      </c>
      <c r="C16" s="120" t="s">
        <v>319</v>
      </c>
      <c r="D16" s="142" t="s">
        <v>308</v>
      </c>
      <c r="E16" s="29" t="s">
        <v>309</v>
      </c>
      <c r="F16" s="29" t="s">
        <v>309</v>
      </c>
      <c r="G16" s="120" t="s">
        <v>64</v>
      </c>
      <c r="H16" s="178">
        <v>46127.0</v>
      </c>
      <c r="I16" s="29" t="s">
        <v>309</v>
      </c>
      <c r="J16" s="120" t="s">
        <v>64</v>
      </c>
      <c r="K16" s="178">
        <v>46130.0</v>
      </c>
      <c r="L16" s="179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ht="63.75" customHeight="1">
      <c r="A17" s="180"/>
      <c r="B17" s="34"/>
      <c r="C17" s="34"/>
      <c r="D17" s="142" t="s">
        <v>314</v>
      </c>
      <c r="E17" s="29" t="s">
        <v>320</v>
      </c>
      <c r="F17" s="29" t="s">
        <v>321</v>
      </c>
      <c r="G17" s="34"/>
      <c r="H17" s="34"/>
      <c r="I17" s="29" t="s">
        <v>322</v>
      </c>
      <c r="J17" s="34"/>
      <c r="K17" s="34"/>
      <c r="L17" s="18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ht="39.0" customHeight="1">
      <c r="A18" s="177" t="s">
        <v>323</v>
      </c>
      <c r="B18" s="120" t="s">
        <v>324</v>
      </c>
      <c r="C18" s="120" t="s">
        <v>325</v>
      </c>
      <c r="D18" s="142" t="s">
        <v>308</v>
      </c>
      <c r="E18" s="29" t="s">
        <v>309</v>
      </c>
      <c r="F18" s="29" t="s">
        <v>309</v>
      </c>
      <c r="G18" s="120" t="s">
        <v>64</v>
      </c>
      <c r="H18" s="178">
        <v>46127.0</v>
      </c>
      <c r="I18" s="29" t="s">
        <v>309</v>
      </c>
      <c r="J18" s="120" t="s">
        <v>64</v>
      </c>
      <c r="K18" s="178">
        <v>46130.0</v>
      </c>
      <c r="L18" s="182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ht="63.75" customHeight="1">
      <c r="A19" s="180"/>
      <c r="B19" s="34"/>
      <c r="C19" s="34"/>
      <c r="D19" s="142" t="s">
        <v>314</v>
      </c>
      <c r="E19" s="29" t="s">
        <v>326</v>
      </c>
      <c r="F19" s="29" t="s">
        <v>326</v>
      </c>
      <c r="G19" s="34"/>
      <c r="H19" s="34"/>
      <c r="I19" s="29" t="s">
        <v>326</v>
      </c>
      <c r="J19" s="34"/>
      <c r="K19" s="34"/>
      <c r="L19" s="18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ht="22.5" customHeight="1">
      <c r="A20" s="173" t="s">
        <v>118</v>
      </c>
      <c r="B20" s="63" t="s">
        <v>327</v>
      </c>
      <c r="C20" s="20"/>
      <c r="D20" s="20"/>
      <c r="E20" s="20"/>
      <c r="F20" s="20"/>
      <c r="G20" s="20"/>
      <c r="H20" s="20"/>
      <c r="I20" s="20"/>
      <c r="J20" s="20"/>
      <c r="K20" s="20"/>
      <c r="L20" s="15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ht="39.0" customHeight="1">
      <c r="A21" s="177" t="s">
        <v>328</v>
      </c>
      <c r="B21" s="120" t="s">
        <v>329</v>
      </c>
      <c r="C21" s="120" t="s">
        <v>330</v>
      </c>
      <c r="D21" s="142" t="s">
        <v>331</v>
      </c>
      <c r="E21" s="29" t="s">
        <v>309</v>
      </c>
      <c r="F21" s="29" t="s">
        <v>309</v>
      </c>
      <c r="G21" s="120" t="s">
        <v>64</v>
      </c>
      <c r="H21" s="178">
        <v>46127.0</v>
      </c>
      <c r="I21" s="29" t="s">
        <v>309</v>
      </c>
      <c r="J21" s="120" t="s">
        <v>64</v>
      </c>
      <c r="K21" s="178">
        <v>46130.0</v>
      </c>
      <c r="L21" s="182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ht="63.75" customHeight="1">
      <c r="A22" s="180"/>
      <c r="B22" s="34"/>
      <c r="C22" s="34"/>
      <c r="D22" s="142" t="s">
        <v>301</v>
      </c>
      <c r="E22" s="29" t="s">
        <v>332</v>
      </c>
      <c r="F22" s="29" t="s">
        <v>332</v>
      </c>
      <c r="G22" s="34"/>
      <c r="H22" s="34"/>
      <c r="I22" s="29" t="s">
        <v>332</v>
      </c>
      <c r="J22" s="34"/>
      <c r="K22" s="34"/>
      <c r="L22" s="18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ht="39.0" customHeight="1">
      <c r="A23" s="177" t="s">
        <v>333</v>
      </c>
      <c r="B23" s="120" t="s">
        <v>334</v>
      </c>
      <c r="C23" s="120" t="s">
        <v>335</v>
      </c>
      <c r="D23" s="142" t="s">
        <v>336</v>
      </c>
      <c r="E23" s="29" t="s">
        <v>309</v>
      </c>
      <c r="F23" s="29" t="s">
        <v>309</v>
      </c>
      <c r="G23" s="120" t="s">
        <v>64</v>
      </c>
      <c r="H23" s="178">
        <v>46127.0</v>
      </c>
      <c r="I23" s="29" t="s">
        <v>309</v>
      </c>
      <c r="J23" s="120" t="s">
        <v>64</v>
      </c>
      <c r="K23" s="178">
        <v>46130.0</v>
      </c>
      <c r="L23" s="182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ht="63.75" customHeight="1">
      <c r="A24" s="183"/>
      <c r="B24" s="89"/>
      <c r="C24" s="89"/>
      <c r="D24" s="184" t="s">
        <v>301</v>
      </c>
      <c r="E24" s="185" t="s">
        <v>332</v>
      </c>
      <c r="F24" s="185" t="s">
        <v>332</v>
      </c>
      <c r="G24" s="89"/>
      <c r="H24" s="34"/>
      <c r="I24" s="185" t="s">
        <v>332</v>
      </c>
      <c r="J24" s="89"/>
      <c r="K24" s="89"/>
      <c r="L24" s="186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ht="22.5" customHeight="1">
      <c r="A25" s="173" t="s">
        <v>126</v>
      </c>
      <c r="B25" s="63" t="s">
        <v>337</v>
      </c>
      <c r="C25" s="20"/>
      <c r="D25" s="20"/>
      <c r="E25" s="20"/>
      <c r="F25" s="20"/>
      <c r="G25" s="20"/>
      <c r="H25" s="20"/>
      <c r="I25" s="20"/>
      <c r="J25" s="20"/>
      <c r="K25" s="20"/>
      <c r="L25" s="15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ht="39.0" customHeight="1">
      <c r="A26" s="177" t="s">
        <v>338</v>
      </c>
      <c r="B26" s="120" t="s">
        <v>339</v>
      </c>
      <c r="C26" s="120" t="s">
        <v>319</v>
      </c>
      <c r="D26" s="142" t="s">
        <v>308</v>
      </c>
      <c r="E26" s="29" t="s">
        <v>340</v>
      </c>
      <c r="F26" s="29" t="s">
        <v>340</v>
      </c>
      <c r="G26" s="120" t="s">
        <v>64</v>
      </c>
      <c r="H26" s="178">
        <v>46127.0</v>
      </c>
      <c r="I26" s="29" t="s">
        <v>340</v>
      </c>
      <c r="J26" s="120" t="s">
        <v>64</v>
      </c>
      <c r="K26" s="178">
        <v>46130.0</v>
      </c>
      <c r="L26" s="179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ht="63.75" customHeight="1">
      <c r="A27" s="180"/>
      <c r="B27" s="34"/>
      <c r="C27" s="34"/>
      <c r="D27" s="142" t="s">
        <v>310</v>
      </c>
      <c r="E27" s="29" t="s">
        <v>341</v>
      </c>
      <c r="F27" s="29" t="s">
        <v>342</v>
      </c>
      <c r="G27" s="34"/>
      <c r="H27" s="34"/>
      <c r="I27" s="29" t="s">
        <v>343</v>
      </c>
      <c r="J27" s="34"/>
      <c r="K27" s="34"/>
      <c r="L27" s="18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ht="39.0" customHeight="1">
      <c r="A28" s="177" t="s">
        <v>344</v>
      </c>
      <c r="B28" s="120" t="s">
        <v>345</v>
      </c>
      <c r="C28" s="120" t="s">
        <v>325</v>
      </c>
      <c r="D28" s="142" t="s">
        <v>308</v>
      </c>
      <c r="E28" s="29" t="s">
        <v>340</v>
      </c>
      <c r="F28" s="29" t="s">
        <v>340</v>
      </c>
      <c r="G28" s="120" t="s">
        <v>64</v>
      </c>
      <c r="H28" s="178">
        <v>46127.0</v>
      </c>
      <c r="I28" s="29" t="s">
        <v>340</v>
      </c>
      <c r="J28" s="120" t="s">
        <v>64</v>
      </c>
      <c r="K28" s="178">
        <v>46130.0</v>
      </c>
      <c r="L28" s="182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ht="63.75" customHeight="1">
      <c r="A29" s="180"/>
      <c r="B29" s="34"/>
      <c r="C29" s="34"/>
      <c r="D29" s="142" t="s">
        <v>310</v>
      </c>
      <c r="E29" s="29" t="s">
        <v>346</v>
      </c>
      <c r="F29" s="29" t="s">
        <v>347</v>
      </c>
      <c r="G29" s="34"/>
      <c r="H29" s="34"/>
      <c r="I29" s="29" t="s">
        <v>347</v>
      </c>
      <c r="J29" s="34"/>
      <c r="K29" s="34"/>
      <c r="L29" s="18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ht="22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ht="22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ht="22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ht="22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ht="22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ht="22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ht="22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ht="22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ht="22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ht="22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ht="22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ht="22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ht="22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ht="22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ht="22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ht="22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ht="22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ht="22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ht="22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ht="22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ht="22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22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ht="22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ht="22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ht="22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ht="22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ht="22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ht="22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ht="22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ht="22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ht="22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ht="22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ht="22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ht="22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ht="22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ht="22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ht="22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ht="22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ht="22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ht="22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ht="22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ht="22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ht="22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ht="22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ht="22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ht="22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ht="22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ht="22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ht="22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ht="22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ht="22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ht="22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ht="22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ht="22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ht="22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ht="22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ht="22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ht="22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ht="22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ht="22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ht="22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ht="22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ht="22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ht="22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ht="22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ht="22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ht="22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ht="22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ht="22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ht="22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ht="22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ht="22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ht="22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ht="22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ht="22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ht="22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ht="22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ht="22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ht="22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ht="22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ht="22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ht="22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ht="22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ht="22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ht="22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ht="22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ht="22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ht="22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ht="22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ht="22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ht="22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ht="22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ht="22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ht="22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ht="22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ht="22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ht="22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ht="22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ht="22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ht="22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ht="22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ht="22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ht="22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ht="22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ht="22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ht="22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ht="22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ht="22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ht="22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ht="22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ht="22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ht="22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ht="22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ht="22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ht="22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ht="22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ht="22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ht="22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ht="22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ht="22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ht="22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ht="22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ht="22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ht="22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ht="22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ht="22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ht="22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ht="22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ht="22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ht="22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ht="22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ht="22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ht="22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ht="22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ht="22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ht="22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ht="22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ht="22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ht="22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ht="22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ht="22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ht="22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ht="22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ht="22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ht="22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ht="22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ht="22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ht="22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ht="22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ht="22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ht="22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ht="22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ht="22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ht="22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ht="22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ht="22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ht="22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ht="22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ht="22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ht="22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ht="22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ht="22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ht="22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ht="22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ht="22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ht="22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ht="22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ht="22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ht="22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ht="22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ht="22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ht="22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ht="22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ht="22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ht="22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ht="22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ht="22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ht="22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ht="22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ht="22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ht="22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ht="22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ht="22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ht="22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ht="22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ht="22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ht="22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ht="22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ht="22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ht="22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ht="22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ht="22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ht="22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ht="22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ht="22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ht="22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ht="22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ht="22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ht="22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ht="22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ht="22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ht="22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ht="22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ht="22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ht="22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ht="22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ht="22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ht="22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ht="22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ht="22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ht="22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ht="22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ht="22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ht="22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ht="22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ht="22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ht="22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ht="22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ht="22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ht="22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ht="22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ht="22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ht="22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ht="22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ht="22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ht="22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ht="22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ht="22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ht="22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ht="22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ht="22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ht="22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ht="22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ht="22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ht="22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ht="22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ht="22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ht="22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ht="22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ht="22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ht="22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ht="22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ht="22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ht="22.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ht="22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ht="22.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ht="22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ht="22.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ht="22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ht="22.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ht="22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ht="22.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ht="22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ht="22.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ht="22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ht="22.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ht="22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ht="22.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ht="22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ht="22.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ht="22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ht="22.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ht="22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ht="22.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ht="22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ht="22.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ht="22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ht="22.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ht="22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ht="22.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ht="22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ht="22.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ht="22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ht="22.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ht="22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ht="22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ht="22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ht="22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ht="22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ht="22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ht="22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ht="22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ht="22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ht="22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ht="22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ht="22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ht="22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ht="22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ht="22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ht="22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ht="22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ht="22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ht="22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ht="22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ht="22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ht="22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ht="22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ht="22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ht="22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ht="22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ht="22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ht="22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ht="22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ht="22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ht="22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ht="22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ht="22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ht="22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ht="22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ht="22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ht="22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ht="22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ht="22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ht="22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ht="22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ht="22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ht="22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ht="22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ht="22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ht="22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ht="22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ht="22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ht="22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ht="22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ht="22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ht="22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ht="22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ht="22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ht="22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ht="22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ht="22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ht="22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ht="22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ht="22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ht="22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ht="22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ht="22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ht="22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ht="22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ht="22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ht="22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ht="22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ht="22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ht="22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ht="22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ht="22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ht="22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ht="22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ht="22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ht="22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ht="22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ht="22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ht="22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ht="22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ht="22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ht="22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ht="22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ht="22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ht="22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ht="22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ht="22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ht="22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ht="22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ht="22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ht="22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ht="22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ht="22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ht="22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ht="22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ht="22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ht="22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ht="22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ht="22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ht="22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ht="22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ht="22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ht="22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ht="22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ht="22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ht="22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ht="22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ht="22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ht="22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ht="22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ht="22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ht="22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ht="22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ht="22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ht="22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ht="22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ht="22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ht="22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ht="22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ht="22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ht="22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ht="22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ht="22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ht="22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ht="22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ht="22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ht="22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ht="22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ht="22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ht="22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ht="22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ht="22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ht="22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ht="22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ht="22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ht="22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ht="22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ht="22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ht="22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ht="22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ht="22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ht="22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ht="22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ht="22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ht="22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ht="22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ht="22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ht="22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ht="22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ht="22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ht="22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ht="22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ht="22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ht="22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ht="22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ht="22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ht="22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ht="22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ht="22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ht="22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ht="22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ht="22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ht="22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ht="22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ht="22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ht="22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ht="22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ht="22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ht="22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ht="22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ht="22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ht="22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ht="22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ht="22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ht="22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ht="22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ht="22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ht="22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ht="22.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ht="22.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ht="22.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ht="22.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ht="22.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ht="22.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ht="22.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ht="22.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ht="22.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ht="22.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ht="22.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ht="22.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ht="22.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ht="22.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ht="22.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ht="22.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ht="22.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ht="22.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ht="22.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ht="22.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ht="22.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ht="22.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ht="22.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ht="22.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ht="22.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ht="22.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ht="22.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ht="22.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ht="22.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ht="22.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ht="22.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ht="22.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ht="22.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ht="22.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ht="22.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ht="22.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ht="22.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ht="22.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ht="22.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ht="22.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ht="22.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ht="22.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ht="22.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ht="22.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ht="22.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ht="22.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ht="22.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ht="22.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ht="22.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ht="22.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ht="22.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ht="22.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ht="22.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ht="22.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ht="22.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ht="22.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ht="22.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ht="22.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ht="22.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ht="22.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ht="22.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ht="22.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ht="22.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ht="22.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ht="22.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ht="22.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ht="22.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ht="22.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ht="22.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ht="22.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ht="22.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ht="22.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ht="22.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ht="22.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ht="22.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ht="22.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ht="22.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ht="22.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ht="22.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ht="22.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ht="22.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ht="22.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ht="22.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ht="22.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ht="22.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ht="22.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ht="22.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ht="22.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ht="22.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ht="22.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ht="22.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ht="22.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ht="22.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ht="22.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ht="22.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ht="22.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ht="22.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ht="22.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ht="22.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ht="22.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ht="22.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ht="22.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ht="22.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ht="22.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ht="22.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ht="22.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ht="22.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ht="22.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ht="22.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ht="22.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ht="22.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ht="22.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ht="22.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ht="22.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ht="22.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ht="22.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ht="22.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ht="22.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ht="22.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ht="22.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ht="22.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ht="22.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ht="22.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ht="22.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ht="22.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ht="22.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ht="22.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ht="22.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ht="22.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ht="22.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ht="22.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ht="22.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ht="22.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ht="22.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ht="22.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ht="22.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ht="22.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ht="22.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ht="22.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ht="22.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ht="22.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ht="22.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ht="22.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ht="22.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ht="22.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ht="22.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ht="22.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ht="22.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ht="22.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ht="22.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ht="22.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ht="22.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ht="22.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ht="22.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ht="22.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ht="22.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ht="22.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ht="22.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ht="22.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ht="22.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ht="22.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ht="22.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ht="22.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ht="22.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ht="22.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ht="22.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ht="22.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ht="22.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ht="22.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ht="22.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ht="22.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ht="22.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ht="22.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ht="22.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ht="22.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ht="22.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ht="22.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ht="22.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ht="22.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ht="22.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ht="22.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ht="22.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ht="22.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ht="22.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ht="22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ht="22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ht="22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ht="22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ht="22.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ht="22.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ht="22.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ht="22.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ht="22.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ht="22.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ht="22.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ht="22.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ht="22.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ht="22.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ht="22.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ht="22.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ht="22.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ht="22.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ht="22.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ht="22.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ht="22.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ht="22.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ht="22.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ht="22.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ht="22.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ht="22.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ht="22.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ht="22.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ht="22.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ht="22.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ht="22.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ht="22.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ht="22.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ht="22.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ht="22.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ht="22.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ht="22.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ht="22.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ht="22.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ht="22.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ht="22.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ht="22.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ht="22.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ht="22.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ht="22.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ht="22.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ht="22.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ht="22.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ht="22.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ht="22.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ht="22.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ht="22.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ht="22.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ht="22.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ht="22.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ht="22.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ht="22.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ht="22.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ht="22.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ht="22.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ht="22.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ht="22.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ht="22.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ht="22.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ht="22.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ht="22.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ht="22.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ht="22.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ht="22.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ht="22.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ht="22.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ht="22.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ht="22.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ht="22.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ht="22.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ht="22.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ht="22.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ht="22.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ht="22.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ht="22.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ht="22.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ht="22.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ht="22.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ht="22.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ht="22.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ht="22.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ht="22.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ht="22.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ht="22.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ht="22.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ht="22.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ht="22.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ht="22.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ht="22.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ht="22.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ht="22.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ht="22.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ht="22.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ht="22.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ht="22.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ht="22.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ht="22.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ht="22.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ht="22.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ht="22.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ht="22.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ht="22.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ht="22.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ht="22.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ht="22.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ht="22.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ht="22.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ht="22.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ht="22.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ht="22.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ht="22.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ht="22.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ht="22.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ht="22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ht="22.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ht="22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ht="22.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ht="22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ht="22.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ht="22.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ht="22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ht="22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ht="22.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ht="22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ht="22.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ht="22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ht="22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ht="22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ht="22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ht="22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ht="22.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ht="22.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ht="22.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ht="22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ht="22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ht="22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ht="22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ht="22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ht="22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ht="22.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ht="22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ht="22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ht="22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ht="22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ht="22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ht="22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ht="22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ht="22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ht="22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ht="22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ht="22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ht="22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ht="22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ht="22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ht="22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ht="22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ht="22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ht="22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ht="22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ht="22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ht="22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ht="22.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ht="22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ht="22.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ht="22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ht="22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ht="22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ht="22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ht="22.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ht="22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ht="22.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ht="22.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ht="22.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ht="22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ht="22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ht="22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ht="22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ht="22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ht="22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ht="22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ht="22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ht="22.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ht="22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ht="22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ht="22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ht="22.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ht="22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ht="22.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ht="22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ht="22.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ht="22.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ht="22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ht="22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ht="22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ht="22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ht="22.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ht="22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ht="22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ht="22.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ht="22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ht="22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ht="22.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ht="22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ht="22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ht="22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ht="22.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ht="22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ht="22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ht="22.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ht="22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ht="22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ht="22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ht="22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ht="22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ht="22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ht="22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ht="22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ht="22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ht="22.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ht="22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ht="22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ht="22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ht="22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ht="22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ht="22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ht="22.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ht="22.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ht="22.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ht="22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ht="22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ht="22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ht="22.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ht="22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ht="22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ht="22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ht="22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ht="22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ht="22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ht="22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ht="22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ht="22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ht="22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ht="22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ht="22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ht="22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ht="22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ht="22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ht="22.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ht="22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ht="22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ht="22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ht="22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ht="22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ht="22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ht="22.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ht="22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ht="22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ht="22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ht="22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ht="22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ht="22.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ht="22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ht="22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ht="22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ht="22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ht="22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ht="22.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ht="22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ht="22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ht="22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ht="22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ht="22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ht="22.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ht="22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ht="22.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ht="22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ht="22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ht="22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ht="22.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ht="22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ht="22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ht="22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ht="22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ht="22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ht="22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ht="22.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ht="22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ht="22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ht="22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ht="22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ht="22.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ht="22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ht="22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ht="22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ht="22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ht="22.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ht="22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ht="22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ht="22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ht="22.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ht="22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ht="22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ht="22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ht="22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ht="22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ht="22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ht="22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ht="22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ht="22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ht="22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ht="22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ht="22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ht="22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ht="22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ht="22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ht="22.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ht="22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ht="22.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ht="22.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</sheetData>
  <mergeCells count="69">
    <mergeCell ref="B21:B22"/>
    <mergeCell ref="C21:C22"/>
    <mergeCell ref="G21:G22"/>
    <mergeCell ref="H21:H22"/>
    <mergeCell ref="J21:J22"/>
    <mergeCell ref="K21:K22"/>
    <mergeCell ref="L21:L22"/>
    <mergeCell ref="A21:A22"/>
    <mergeCell ref="A23:A24"/>
    <mergeCell ref="B23:B24"/>
    <mergeCell ref="C23:C24"/>
    <mergeCell ref="G23:G24"/>
    <mergeCell ref="H23:H24"/>
    <mergeCell ref="J23:J24"/>
    <mergeCell ref="H26:H27"/>
    <mergeCell ref="J26:J27"/>
    <mergeCell ref="K23:K24"/>
    <mergeCell ref="L23:L24"/>
    <mergeCell ref="B25:L25"/>
    <mergeCell ref="A26:A27"/>
    <mergeCell ref="B26:B27"/>
    <mergeCell ref="C26:C27"/>
    <mergeCell ref="G26:G27"/>
    <mergeCell ref="J10:J11"/>
    <mergeCell ref="K10:K11"/>
    <mergeCell ref="L10:L11"/>
    <mergeCell ref="B1:B2"/>
    <mergeCell ref="B4:B5"/>
    <mergeCell ref="A10:A11"/>
    <mergeCell ref="B10:B11"/>
    <mergeCell ref="C10:C11"/>
    <mergeCell ref="G10:G11"/>
    <mergeCell ref="H10:H11"/>
    <mergeCell ref="A13:A14"/>
    <mergeCell ref="B13:B14"/>
    <mergeCell ref="C13:C14"/>
    <mergeCell ref="G13:G14"/>
    <mergeCell ref="H13:H14"/>
    <mergeCell ref="J13:J14"/>
    <mergeCell ref="K13:K14"/>
    <mergeCell ref="J16:J17"/>
    <mergeCell ref="K16:K17"/>
    <mergeCell ref="J18:J19"/>
    <mergeCell ref="K18:K19"/>
    <mergeCell ref="L18:L19"/>
    <mergeCell ref="L13:L14"/>
    <mergeCell ref="B15:L15"/>
    <mergeCell ref="B16:B17"/>
    <mergeCell ref="C16:C17"/>
    <mergeCell ref="G16:G17"/>
    <mergeCell ref="H16:H17"/>
    <mergeCell ref="L16:L17"/>
    <mergeCell ref="A16:A17"/>
    <mergeCell ref="A18:A19"/>
    <mergeCell ref="B18:B19"/>
    <mergeCell ref="C18:C19"/>
    <mergeCell ref="G18:G19"/>
    <mergeCell ref="H18:H19"/>
    <mergeCell ref="B20:L20"/>
    <mergeCell ref="J28:J29"/>
    <mergeCell ref="K28:K29"/>
    <mergeCell ref="K26:K27"/>
    <mergeCell ref="L26:L27"/>
    <mergeCell ref="A28:A29"/>
    <mergeCell ref="B28:B29"/>
    <mergeCell ref="C28:C29"/>
    <mergeCell ref="G28:G29"/>
    <mergeCell ref="H28:H29"/>
    <mergeCell ref="L28:L29"/>
  </mergeCells>
  <dataValidations>
    <dataValidation type="list" allowBlank="1" sqref="G10 J10 G13 J13 G16 J16 G18 J18 G21 J21 G23 J23 G26 J26 G28 J28">
      <formula1>"Pass,Fail,Untested"</formula1>
    </dataValidation>
    <dataValidation type="list" allowBlank="1" showInputMessage="1" showErrorMessage="1" prompt=" - " sqref="L4:L5">
      <formula1>"Fatal,Major,Minor,Cosmetic"</formula1>
    </dataValidation>
    <dataValidation type="list" allowBlank="1" showInputMessage="1" showErrorMessage="1" prompt=" - " sqref="L10 L13 L16 L18 L21 L23 L26 L28">
      <formula1>"Critical,Major,Minor,Cosmetic"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96" t="s">
        <v>348</v>
      </c>
    </row>
    <row r="2" ht="12.75" customHeight="1">
      <c r="A2" s="96" t="s">
        <v>349</v>
      </c>
    </row>
    <row r="3" ht="12.75" customHeight="1">
      <c r="A3" s="96" t="s">
        <v>350</v>
      </c>
    </row>
    <row r="4" ht="12.75" customHeight="1">
      <c r="A4" s="96" t="s">
        <v>351</v>
      </c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2017-09-27T01:16:35Z</dcterms:created>
  <dc:creator>Chúc Thuận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