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_General_TONG QUAN" sheetId="1" r:id="rId4"/>
    <sheet state="visible" name="Test Scenario_THANH MENU" sheetId="2" r:id="rId5"/>
    <sheet state="visible" name="FUNC TC_THANH MENU" sheetId="3" r:id="rId6"/>
    <sheet state="visible" name="Test Scenario_TRUY CẬP NHANH" sheetId="4" r:id="rId7"/>
    <sheet state="visible" name="FUNC TC_TRUY CẬP NHANH" sheetId="5" r:id="rId8"/>
    <sheet state="visible" name="Test Scenario_DỮ LIỆU DASHBOARD" sheetId="6" r:id="rId9"/>
    <sheet state="visible" name="FUNC TC_DỮ LIỆU DASHBOARD" sheetId="7" r:id="rId10"/>
    <sheet state="visible" name="Sheet1" sheetId="8" r:id="rId11"/>
  </sheets>
  <definedNames>
    <definedName name="Scenario_2">'FUNC TC_LOGIN'!#REF!</definedName>
    <definedName name="Scenario_3">'FUNC TC_LOGIN'!#REF!</definedName>
    <definedName name="Scenario_4">'FUNC TC_LOGIN'!#REF!</definedName>
    <definedName name="Scenario_5">'FUNC TC_LOGIN'!#REF!</definedName>
    <definedName name="Scenario_6">'FUNC TC_LOGIN'!#REF!</definedName>
    <definedName name="Scenario_7">'FUNC TC_LOGIN'!#REF!</definedName>
    <definedName name="SC_5">#REF!</definedName>
    <definedName name="Scenario_1">'FUNC TC_THANH MENU'!$A$5</definedName>
    <definedName localSheetId="6" name="SC_5">#REF!</definedName>
    <definedName localSheetId="4" name="Scenario_1">'FUNC TC_TRUY CẬP NHANH'!$A$5</definedName>
    <definedName localSheetId="4" name="SC_5">#REF!</definedName>
    <definedName localSheetId="6" name="Scenario_1">'FUNC TC_DỮ LIỆU DASHBOARD'!$A$5</definedName>
    <definedName hidden="1" name="Google_Sheet_Link_1434278573_106737295">Scenario_1</definedName>
    <definedName hidden="1" name="Google_Sheet_Link_760286472_140557033">Scenario_1</definedName>
    <definedName hidden="1" name="Google_Sheet_Link_896523706">Scenario_1</definedName>
  </definedNames>
  <calcPr/>
  <extLst>
    <ext uri="GoogleSheetsCustomDataVersion2">
      <go:sheetsCustomData xmlns:go="http://customooxmlschemas.google.com/" r:id="rId12" roundtripDataChecksum="e84RyEy24vITIBpQFaxApdKhJjWoa2olPGgSqyHmiBg="/>
    </ext>
  </extLst>
</workbook>
</file>

<file path=xl/sharedStrings.xml><?xml version="1.0" encoding="utf-8"?>
<sst xmlns="http://schemas.openxmlformats.org/spreadsheetml/2006/main" count="241" uniqueCount="130">
  <si>
    <t>SYSTEM TEST FOR</t>
  </si>
  <si>
    <t xml:space="preserve">MODULE:  TRANG CHỦ (HOME) </t>
  </si>
  <si>
    <t>Project Code (Mã dự án)</t>
  </si>
  <si>
    <t>MIS3021</t>
  </si>
  <si>
    <t>Project Name (Tên dự án)</t>
  </si>
  <si>
    <t>Website quản lý kho minimart Kim Liên</t>
  </si>
  <si>
    <t>Target Platform (Nền tảng )</t>
  </si>
  <si>
    <t>Python xây dựng cho Window 11.</t>
  </si>
  <si>
    <t>Release No.</t>
  </si>
  <si>
    <t>1 (15/4/2026)</t>
  </si>
  <si>
    <t>Tester Name</t>
  </si>
  <si>
    <t>Nguyễn Hữu Minh Khuê</t>
  </si>
  <si>
    <t>Test Lead</t>
  </si>
  <si>
    <t>Nguyễn Ngọc Trâm</t>
  </si>
  <si>
    <t>Date Executed</t>
  </si>
  <si>
    <t xml:space="preserve">15/04/2026 – 18/04/2026
</t>
  </si>
  <si>
    <t>Estimate Duration</t>
  </si>
  <si>
    <t>3 ngày</t>
  </si>
  <si>
    <t xml:space="preserve">Test Scenario  </t>
  </si>
  <si>
    <t>Transaction: Dashboard
Test Objectives: Kiểm tra các chức năng điều hướng và hiển thị thông tin trên trang chủ (Dashboard) của hệ thống</t>
  </si>
  <si>
    <t>No</t>
  </si>
  <si>
    <t>Action</t>
  </si>
  <si>
    <t>Expected Results</t>
  </si>
  <si>
    <t xml:space="preserve">Status 
</t>
  </si>
  <si>
    <t>Notes</t>
  </si>
  <si>
    <t>Test Scenario Status</t>
  </si>
  <si>
    <t>Scenario 1: Kiểm tra chức năng điều hướng qua giao diện "Nhà cung cấp" trên thanh Sidebar</t>
  </si>
  <si>
    <t xml:space="preserve">Input data: </t>
  </si>
  <si>
    <t>Screen Navigation: Đăng nhập -&gt;Dashboard</t>
  </si>
  <si>
    <t>Click menu "Nhà cung cấp"</t>
  </si>
  <si>
    <t>Hệ thống chuyển sang giao diện Nhà cung cấp.</t>
  </si>
  <si>
    <t>Tested</t>
  </si>
  <si>
    <t>Scenario 2: Kiểm tra chức năng điều hướng qua giao diện "Nhập hàng" trên thanh Sidebar</t>
  </si>
  <si>
    <t>Click menu "Nhập hàng"</t>
  </si>
  <si>
    <t>Hệ thống chuyển sang giao diện Nhập hàng.</t>
  </si>
  <si>
    <t>Scenario 3: Kiểm tra chức năng điều hướng qua giao diện "Lô hàng" trên thanh Sidebar</t>
  </si>
  <si>
    <t>Click menu "Lô hàng"</t>
  </si>
  <si>
    <t>Hệ thống chuyển sang giao diện Lô hàng.</t>
  </si>
  <si>
    <t>Scenario 4: Kiểm tra chức năng điều hướng qua giao diện "Sản phẩm" trên thanh Sidebar</t>
  </si>
  <si>
    <t>Click menu "Sản phẩm"</t>
  </si>
  <si>
    <t>Hệ thống chuyển sang giao diện Sản phẩm.</t>
  </si>
  <si>
    <t>Scenario 5: Kiểm tra chức năng điều hướng qua giao diện "Cài đặt" trên thanh Sidebar</t>
  </si>
  <si>
    <t>Click menu "Cài đặt"</t>
  </si>
  <si>
    <t>Mở ra trang/popup thiết lập tài khoản.</t>
  </si>
  <si>
    <t>TEST RESULT</t>
  </si>
  <si>
    <t>Pass</t>
  </si>
  <si>
    <t>Fail</t>
  </si>
  <si>
    <t>Untested</t>
  </si>
  <si>
    <t>Total</t>
  </si>
  <si>
    <t>TC ID</t>
  </si>
  <si>
    <t>Description (Mô tả)</t>
  </si>
  <si>
    <t>Start Conditions (Điều kiện bắt đầu)</t>
  </si>
  <si>
    <t>Action (Hành động)</t>
  </si>
  <si>
    <t>Expected Result (Kết quả mong đợi)</t>
  </si>
  <si>
    <t>Actual Result (Kết quả thực tế)</t>
  </si>
  <si>
    <t>Result (Kết quả kiểm thử)</t>
  </si>
  <si>
    <t>Test Date</t>
  </si>
  <si>
    <t>Re-Result (Kết quả kiểm thử)-lần 2</t>
  </si>
  <si>
    <t>Re-Test Date</t>
  </si>
  <si>
    <t>Defect Severity (Mức độ lỗi)</t>
  </si>
  <si>
    <t>Scenario_1</t>
  </si>
  <si>
    <t>Kiểm tra chức năng điều hướng trên thanh Sidebar</t>
  </si>
  <si>
    <t>FUN_DB_SC01_01</t>
  </si>
  <si>
    <t>Chuyển hướng đến "Nhà cung cấp"</t>
  </si>
  <si>
    <t>Đã đăng nhập thành công. Đang ở màn hình Dashboard</t>
  </si>
  <si>
    <t>Click vào menu "Nhà cung cấp" (có icon tòa nhà)</t>
  </si>
  <si>
    <t>Hệ thống tải và hiển thị giao diện "Quản lý Nhà cung cấp". Nút menu trên sidebar được highlight.</t>
  </si>
  <si>
    <t>Hệ thống hiển thị giao diện "Quản lý Nhà cung cấp" đúng với yêu cầu. Nút menu được highlight tương ứng</t>
  </si>
  <si>
    <t>FUN_DB_SC02_01</t>
  </si>
  <si>
    <t>Chuyển hướng đến "Nhập hàng"</t>
  </si>
  <si>
    <t>Click vào menu "Nhập hàng" (icon xe tải)</t>
  </si>
  <si>
    <t>Hệ thống tải và hiển thị giao diện "Quản lý Nhập hàng". Nút menu trên sidebar được highlight.</t>
  </si>
  <si>
    <t>Hệ thống hiển thị giao diện "Quản lý Nhập hàng" đúng với yêu cầu. Nút menu được highlight tương ứng</t>
  </si>
  <si>
    <t>FUN_DB_SC03_01</t>
  </si>
  <si>
    <t>Chuyển hướng đến "Lô hàng"</t>
  </si>
  <si>
    <t>Click vào menu "Lô hàng" (icon kiện hàng)</t>
  </si>
  <si>
    <t>Hệ thống tải và hiển thị giao diện "Quản lý Lô hàng". Nút menu trên sidebar được highlight.</t>
  </si>
  <si>
    <t>Hệ thống hiển thị giao diện "Quản lý Lô hàng" đúng với yêu cầu. Nút menu được highlight tương ứng</t>
  </si>
  <si>
    <t>FUN_DB_SC04_01</t>
  </si>
  <si>
    <t>Chuyển hướng đến "Sản phẩm"</t>
  </si>
  <si>
    <t>Click vào menu "Sản phẩm" (icon hộp hàng)</t>
  </si>
  <si>
    <t>Hệ thống tải và hiển thị giao diện "Quản lý Sản phẩm". Nút menu trên sidebar được highlight.</t>
  </si>
  <si>
    <t>Hệ thống hiển thị giao diện "Quản lý Sản phẩm" đúng với yêu cầu. Nút menu được highlight tương ứng</t>
  </si>
  <si>
    <t>FUN_DB_SC05_01</t>
  </si>
  <si>
    <t>Chuyên hướng đến "Cài đặt"</t>
  </si>
  <si>
    <t>Click vào menu "Cài đặt" (icon răng cưa)</t>
  </si>
  <si>
    <t>Hệ thống hiển thị giao diện "Cài đặt". Nút menu trên sidebar được highlight.</t>
  </si>
  <si>
    <t>Hệ thống hiển thị giao diện "Cài đặt" đúng với yêu cầu. Nút menu được highlight tương ứng</t>
  </si>
  <si>
    <t>Scenario 1: Kiểm tra chức năng của nút "Nhập hàng" ở phần "Truy cập nhanh"</t>
  </si>
  <si>
    <t>Click thẻ "Nhập hàng" trong khu vực Truy cập nhanh</t>
  </si>
  <si>
    <t>Hệ thống chuyển sang giao diện "Nhập hàng" và tự động mở sẵn form "Tạo phiếu nhập mới".</t>
  </si>
  <si>
    <t>Scenario 2: Kiểm tra chức năng của nút "Thêm Nhà cung cấp" ở phần "Truy cập nhanh"</t>
  </si>
  <si>
    <t>Click thẻ "Thêm Nhà cung cấp" trong khu vực Truy cập nhanh</t>
  </si>
  <si>
    <t>Hệ thống chuyển sang giao diện "Nhà cung cấp" và tự động mở sẵn form "Thêm nhà cung cấp".</t>
  </si>
  <si>
    <t>Scenario 3: Kiểm tra chức năng của nút "Sản phẩm" ở phần "Truy cập nhanh"</t>
  </si>
  <si>
    <t>Click thẻ "Sản phẩm" trong khu vực Truy cập nhanh</t>
  </si>
  <si>
    <t>Hệ thống chuyển sang giao diện "Sản phẩm" (hiển thị danh sách mặc định).</t>
  </si>
  <si>
    <t>Truy cập nhanh tạo phiếu nhập</t>
  </si>
  <si>
    <t>Click vào thẻ "Nhập hàng" (vòng tròn màu vàng có icon xe tải)</t>
  </si>
  <si>
    <t>Hệ thống tự động chuyển sang trang "Nhập hàng" và form "Tạo phiếu nhập mới" đã được mở sẵn sàng.</t>
  </si>
  <si>
    <t>Hệ thống chỉ chuyển sang trang "Nhập hàng" và không có hiển thị form "Tạo phiếu nhập mới"</t>
  </si>
  <si>
    <t>Minor</t>
  </si>
  <si>
    <t>Truy cập nhanh thêm Nhà cung cấp</t>
  </si>
  <si>
    <t>Click vào thẻ "Thêm Nhà cung cấp" (vòng tròn màu vàng có icon tòa nhà)</t>
  </si>
  <si>
    <t>Hệ thống tự động chuyển sang trang "Nhà cung cấp" và form "Thêm nhà cung cấp" đã được mở sẵn sàng.</t>
  </si>
  <si>
    <t>Hệ thống chỉ chuyển sang trang "Nhà cung cấp" và không có hiển thị form "Tạo phiếu nhập mới"</t>
  </si>
  <si>
    <t>Truy cập nhanh danh sách sản phẩm</t>
  </si>
  <si>
    <t>Click vào thẻ "Sản phẩm" (vòng tròn màu vàng có icon hộp)</t>
  </si>
  <si>
    <t>Hệ thống chuyển thẳng sang giao diện "Sản phẩm" hiển thị danh sách toàn bộ hàng hóa.</t>
  </si>
  <si>
    <t>Scenario 1: Kiểm tra hiển thị dữ liệu tổng quan trên Dashboard</t>
  </si>
  <si>
    <t>:</t>
  </si>
  <si>
    <t>Quan sát khu vực Header/Profile góc trên bên phải</t>
  </si>
  <si>
    <t>Hiển thị đúng lời chào kèm tên (VD: "Xin chào, Xuân Trường!") và chức vụ ("Quản lý cửa hàng") cùng avatar.</t>
  </si>
  <si>
    <t>Quan sát bảng "Cảnh báo hết hạn" ở dưới cùng</t>
  </si>
  <si>
    <t>Danh sách các mặt hàng sắp hết hạn được liệt kê đầy đủ thông tin (Tên, Lô, HSD, Số lượng còn). HSD được highlight màu đỏ để cảnh báo.</t>
  </si>
  <si>
    <t>Kiểm tra hiển thị User Profile</t>
  </si>
  <si>
    <t>Đang ở màn hình Dashboard, đã đăng nhập thành công.</t>
  </si>
  <si>
    <t>Quan sát khu vực trên cùng bên phải.</t>
  </si>
  <si>
    <t>Tên user (VD: Xuân Trường), chức vụ (Quản lý cửa hàng) và Avatar hiển thị chính xác theo dữ liệu tài khoản đang đăng nhập.</t>
  </si>
  <si>
    <t>Tên user được hiển thị (ở đây xuất hiện admin "Kimlien"), chức vụ (Quản lý cửa hàng) và avartar hiển thị chính xác theo dữ liêu tài khoản đang đăng nhập</t>
  </si>
  <si>
    <t>FUN_DB_SC01_02</t>
  </si>
  <si>
    <t>Kiểm tra bảng Cảnh báo hết hạn</t>
  </si>
  <si>
    <t>1. Cuộn xuống khu vực "Cảnh báo hết hạn".</t>
  </si>
  <si>
    <t>Hiển thị đúng số lượng cảnh báo trên title (VD: Cảnh báo hết hạn (3)). Các dòng chi tiết hiển thị đúng Tên, Lô, HSD (được in đỏ) và Số lượng còn lại.</t>
  </si>
  <si>
    <t>Dựa trên số liệu của tầng cơ sở dữ liệu đã hiển thị đúng số lượng cảnh báo. Trong đó, có hiển thị chi tiết tên sản phẩm, mã lô hàng, hạn sử dụng, số lượng sản phẩm còn lại</t>
  </si>
  <si>
    <t>2. Kiểm tra thông tin các dòng dữ liệu.</t>
  </si>
  <si>
    <t>Critical: Hệ thống không thể hoạt động</t>
  </si>
  <si>
    <t>Major: Khi chọn 1 chức năng, hệ thống crash</t>
  </si>
  <si>
    <t>Minor: Lỗi thường gặp, thiếu yêu cầu, sai kết quả mong đợi</t>
  </si>
  <si>
    <t>Cosmetic: Lỗi nhẹ nhất, như sai chính tả, định dạng,…/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</si>
</sst>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0.0"/>
      <color rgb="FF000000"/>
      <name val="Arial"/>
      <scheme val="minor"/>
    </font>
    <font>
      <sz val="12.0"/>
      <color theme="1"/>
      <name val="Times New Roman"/>
    </font>
    <font>
      <b/>
      <sz val="26.0"/>
      <color theme="1"/>
      <name val="Times New Roman"/>
    </font>
    <font>
      <b/>
      <sz val="12.0"/>
      <color theme="1"/>
      <name val="Times New Roman"/>
    </font>
    <font/>
    <font>
      <b/>
      <sz val="10.0"/>
      <color rgb="FFFFFFFF"/>
      <name val="Times New Roman"/>
    </font>
    <font>
      <sz val="10.0"/>
      <color theme="1"/>
      <name val="Times New Roman"/>
    </font>
    <font>
      <b/>
      <sz val="10.0"/>
      <color rgb="FF000000"/>
      <name val="Times New Roman"/>
    </font>
    <font>
      <u/>
      <sz val="10.0"/>
      <color rgb="FF0000FF"/>
      <name val="Arial"/>
    </font>
    <font>
      <b/>
      <sz val="10.0"/>
      <color rgb="FF0000FF"/>
      <name val="Verdana"/>
    </font>
    <font>
      <i/>
      <sz val="10.0"/>
      <color theme="1"/>
      <name val="Times New Roman"/>
    </font>
    <font>
      <color theme="1"/>
      <name val="Times New Roman"/>
    </font>
    <font>
      <u/>
      <sz val="10.0"/>
      <color rgb="FF0000FF"/>
      <name val="Arial"/>
    </font>
  </fonts>
  <fills count="10">
    <fill>
      <patternFill patternType="none"/>
    </fill>
    <fill>
      <patternFill patternType="lightGray"/>
    </fill>
    <fill>
      <patternFill patternType="solid">
        <fgColor rgb="FFBFBFBF"/>
        <bgColor rgb="FFBFBFBF"/>
      </patternFill>
    </fill>
    <fill>
      <patternFill patternType="solid">
        <fgColor rgb="FF808080"/>
        <bgColor rgb="FF808080"/>
      </patternFill>
    </fill>
    <fill>
      <patternFill patternType="solid">
        <fgColor rgb="FFC0C0C0"/>
        <bgColor rgb="FFC0C0C0"/>
      </patternFill>
    </fill>
    <fill>
      <patternFill patternType="solid">
        <fgColor rgb="FF666699"/>
        <bgColor rgb="FF666699"/>
      </patternFill>
    </fill>
    <fill>
      <patternFill patternType="solid">
        <fgColor rgb="FF969696"/>
        <bgColor rgb="FF969696"/>
      </patternFill>
    </fill>
    <fill>
      <patternFill patternType="solid">
        <fgColor rgb="FFFFFFFF"/>
        <bgColor rgb="FFFFFFFF"/>
      </patternFill>
    </fill>
    <fill>
      <patternFill patternType="solid">
        <fgColor rgb="FFFFFFCC"/>
        <bgColor rgb="FFFFFFCC"/>
      </patternFill>
    </fill>
    <fill>
      <patternFill patternType="solid">
        <fgColor rgb="FF99CCFF"/>
        <bgColor rgb="FF99CCFF"/>
      </patternFill>
    </fill>
  </fills>
  <borders count="36">
    <border/>
    <border>
      <left style="hair">
        <color rgb="FF000000"/>
      </left>
      <right style="hair">
        <color rgb="FF000000"/>
      </right>
      <top style="hair">
        <color rgb="FF000000"/>
      </top>
      <bottom/>
    </border>
    <border>
      <left style="thin">
        <color rgb="FF000000"/>
      </left>
      <right style="thin">
        <color rgb="FF000000"/>
      </right>
      <top style="thin">
        <color rgb="FF000000"/>
      </top>
    </border>
    <border>
      <left style="hair">
        <color rgb="FF000000"/>
      </left>
      <top style="thin">
        <color rgb="FF000000"/>
      </top>
      <bottom style="hair">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top/>
      <bottom/>
    </border>
    <border>
      <top/>
      <bottom/>
    </border>
    <border>
      <left/>
      <top/>
    </border>
    <border>
      <top/>
    </border>
    <border>
      <left style="thin">
        <color rgb="FF000000"/>
      </left>
      <right style="thin">
        <color rgb="FF000000"/>
      </right>
      <top style="thin">
        <color rgb="FF000000"/>
      </top>
      <bottom style="thin">
        <color rgb="FF000000"/>
      </bottom>
    </border>
    <border>
      <left/>
      <right/>
      <top style="medium">
        <color rgb="FF000000"/>
      </top>
    </border>
    <border>
      <left style="thin">
        <color rgb="FF000000"/>
      </left>
      <right style="thin">
        <color rgb="FF000000"/>
      </right>
      <top style="medium">
        <color rgb="FF000000"/>
      </top>
      <bottom/>
    </border>
    <border>
      <left/>
      <right/>
    </border>
    <border>
      <left style="thin">
        <color rgb="FF000000"/>
      </left>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center" readingOrder="0" shrinkToFit="0" vertical="top" wrapText="0"/>
    </xf>
    <xf borderId="1" fillId="2" fontId="1" numFmtId="0" xfId="0" applyAlignment="1" applyBorder="1" applyFill="1" applyFont="1">
      <alignment horizontal="left" shrinkToFit="0" vertical="center" wrapText="0"/>
    </xf>
    <xf borderId="2" fillId="0" fontId="3" numFmtId="0" xfId="0" applyAlignment="1" applyBorder="1" applyFont="1">
      <alignment readingOrder="0" shrinkToFit="0" vertical="bottom" wrapText="0"/>
    </xf>
    <xf borderId="3" fillId="2" fontId="1" numFmtId="0" xfId="0" applyAlignment="1" applyBorder="1" applyFont="1">
      <alignment horizontal="left" shrinkToFit="0" vertical="center" wrapText="0"/>
    </xf>
    <xf borderId="4" fillId="0" fontId="3" numFmtId="0" xfId="0" applyAlignment="1" applyBorder="1" applyFont="1">
      <alignment horizontal="center" vertical="bottom"/>
    </xf>
    <xf borderId="5" fillId="0" fontId="4" numFmtId="0" xfId="0" applyBorder="1" applyFont="1"/>
    <xf borderId="6" fillId="2" fontId="1" numFmtId="0" xfId="0" applyAlignment="1" applyBorder="1" applyFont="1">
      <alignment horizontal="left" shrinkToFit="0" vertical="center" wrapText="0"/>
    </xf>
    <xf borderId="7" fillId="2" fontId="1" numFmtId="0" xfId="0" applyAlignment="1" applyBorder="1" applyFont="1">
      <alignment horizontal="left" shrinkToFit="0" vertical="center" wrapText="0"/>
    </xf>
    <xf borderId="8" fillId="0" fontId="1" numFmtId="0" xfId="0" applyAlignment="1" applyBorder="1" applyFont="1">
      <alignment vertical="bottom"/>
    </xf>
    <xf borderId="9" fillId="0" fontId="4" numFmtId="0" xfId="0" applyBorder="1" applyFont="1"/>
    <xf borderId="10" fillId="2" fontId="1" numFmtId="0" xfId="0" applyAlignment="1" applyBorder="1" applyFont="1">
      <alignment horizontal="left" shrinkToFit="0" vertical="center" wrapText="0"/>
    </xf>
    <xf borderId="4" fillId="0" fontId="1" numFmtId="0" xfId="0" applyAlignment="1" applyBorder="1" applyFont="1">
      <alignment vertical="bottom"/>
    </xf>
    <xf borderId="11" fillId="0" fontId="4" numFmtId="0" xfId="0" applyBorder="1" applyFont="1"/>
    <xf borderId="4" fillId="0" fontId="1" numFmtId="0" xfId="0" applyAlignment="1" applyBorder="1" applyFont="1">
      <alignment readingOrder="0" vertical="bottom"/>
    </xf>
    <xf borderId="12" fillId="2" fontId="1" numFmtId="0" xfId="0" applyAlignment="1" applyBorder="1" applyFont="1">
      <alignment horizontal="left" shrinkToFit="0" vertical="center" wrapText="0"/>
    </xf>
    <xf borderId="13" fillId="0" fontId="1" numFmtId="0" xfId="0" applyAlignment="1" applyBorder="1" applyFont="1">
      <alignment vertical="bottom"/>
    </xf>
    <xf borderId="14" fillId="0" fontId="4" numFmtId="0" xfId="0" applyBorder="1" applyFont="1"/>
    <xf borderId="15" fillId="3" fontId="5" numFmtId="0" xfId="0" applyAlignment="1" applyBorder="1" applyFill="1" applyFont="1">
      <alignment horizontal="center" shrinkToFit="0" vertical="top" wrapText="1"/>
    </xf>
    <xf borderId="16" fillId="0" fontId="4" numFmtId="0" xfId="0" applyBorder="1" applyFont="1"/>
    <xf borderId="17" fillId="0" fontId="4" numFmtId="0" xfId="0" applyBorder="1" applyFont="1"/>
    <xf borderId="0" fillId="0" fontId="6" numFmtId="0" xfId="0" applyAlignment="1" applyFont="1">
      <alignment shrinkToFit="0" vertical="bottom" wrapText="0"/>
    </xf>
    <xf borderId="18" fillId="4" fontId="7" numFmtId="0" xfId="0" applyAlignment="1" applyBorder="1" applyFill="1" applyFont="1">
      <alignment horizontal="left" readingOrder="0" shrinkToFit="0" vertical="top" wrapText="1"/>
    </xf>
    <xf borderId="19" fillId="0" fontId="4" numFmtId="0" xfId="0" applyBorder="1" applyFont="1"/>
    <xf borderId="20" fillId="0" fontId="4" numFmtId="0" xfId="0" applyBorder="1" applyFont="1"/>
    <xf borderId="0" fillId="0" fontId="6" numFmtId="0" xfId="0" applyAlignment="1" applyFont="1">
      <alignment horizontal="center" shrinkToFit="0" vertical="top" wrapText="0"/>
    </xf>
    <xf borderId="0" fillId="0" fontId="6" numFmtId="0" xfId="0" applyAlignment="1" applyFont="1">
      <alignment shrinkToFit="0" vertical="top" wrapText="0"/>
    </xf>
    <xf borderId="21" fillId="5" fontId="5" numFmtId="0" xfId="0" applyAlignment="1" applyBorder="1" applyFill="1" applyFont="1">
      <alignment horizontal="center" shrinkToFit="0" vertical="top" wrapText="0"/>
    </xf>
    <xf borderId="8" fillId="5" fontId="5" numFmtId="0" xfId="0" applyAlignment="1" applyBorder="1" applyFont="1">
      <alignment horizontal="center" shrinkToFit="0" vertical="top" wrapText="0"/>
    </xf>
    <xf borderId="22" fillId="0" fontId="4" numFmtId="0" xfId="0" applyBorder="1" applyFont="1"/>
    <xf borderId="21" fillId="5" fontId="5" numFmtId="0" xfId="0" applyAlignment="1" applyBorder="1" applyFont="1">
      <alignment horizontal="center" shrinkToFit="0" vertical="top" wrapText="1"/>
    </xf>
    <xf borderId="0" fillId="0" fontId="8" numFmtId="0" xfId="0" applyAlignment="1" applyFont="1">
      <alignment readingOrder="0"/>
    </xf>
    <xf borderId="23" fillId="6" fontId="7" numFmtId="0" xfId="0" applyAlignment="1" applyBorder="1" applyFill="1" applyFont="1">
      <alignment readingOrder="0" shrinkToFit="0" vertical="top" wrapText="1"/>
    </xf>
    <xf borderId="24" fillId="0" fontId="4" numFmtId="0" xfId="0" applyBorder="1" applyFont="1"/>
    <xf borderId="25" fillId="6" fontId="9" numFmtId="0" xfId="0" applyAlignment="1" applyBorder="1" applyFont="1">
      <alignment shrinkToFit="0" vertical="top" wrapText="1"/>
    </xf>
    <xf borderId="26" fillId="0" fontId="4" numFmtId="0" xfId="0" applyBorder="1" applyFont="1"/>
    <xf borderId="27" fillId="0" fontId="6" numFmtId="0" xfId="0" applyAlignment="1" applyBorder="1" applyFont="1">
      <alignment horizontal="center" shrinkToFit="0" vertical="center" wrapText="1"/>
    </xf>
    <xf borderId="4" fillId="0" fontId="6" numFmtId="0" xfId="0" applyAlignment="1" applyBorder="1" applyFont="1">
      <alignment readingOrder="0" shrinkToFit="0" vertical="center" wrapText="1"/>
    </xf>
    <xf borderId="27" fillId="0" fontId="6" numFmtId="0" xfId="0" applyAlignment="1" applyBorder="1" applyFont="1">
      <alignment readingOrder="0" shrinkToFit="0" vertical="top" wrapText="1"/>
    </xf>
    <xf borderId="27" fillId="0" fontId="6" numFmtId="0" xfId="0" applyAlignment="1" applyBorder="1" applyFont="1">
      <alignment shrinkToFit="0" vertical="top" wrapText="1"/>
    </xf>
    <xf borderId="27" fillId="7" fontId="10" numFmtId="0" xfId="0" applyAlignment="1" applyBorder="1" applyFill="1" applyFont="1">
      <alignment shrinkToFit="0" vertical="top" wrapText="1"/>
    </xf>
    <xf borderId="27" fillId="0" fontId="10" numFmtId="0" xfId="0" applyAlignment="1" applyBorder="1" applyFont="1">
      <alignment horizontal="center" readingOrder="0" shrinkToFit="0" vertical="center" wrapText="1"/>
    </xf>
    <xf borderId="0" fillId="0" fontId="5" numFmtId="0" xfId="0" applyAlignment="1" applyFont="1">
      <alignment shrinkToFit="0" vertical="bottom" wrapText="0"/>
    </xf>
    <xf borderId="28" fillId="5" fontId="5" numFmtId="0" xfId="0" applyAlignment="1" applyBorder="1" applyFont="1">
      <alignment horizontal="center" shrinkToFit="0" vertical="center" wrapText="1"/>
    </xf>
    <xf borderId="29" fillId="5" fontId="5" numFmtId="0" xfId="0" applyAlignment="1" applyBorder="1" applyFont="1">
      <alignment horizontal="center" shrinkToFit="0" vertical="center" wrapText="1"/>
    </xf>
    <xf borderId="30" fillId="0" fontId="4" numFmtId="0" xfId="0" applyBorder="1" applyFont="1"/>
    <xf borderId="27" fillId="8" fontId="6" numFmtId="0" xfId="0" applyAlignment="1" applyBorder="1" applyFill="1" applyFont="1">
      <alignment horizontal="center" shrinkToFit="0" vertical="center" wrapText="0"/>
    </xf>
    <xf borderId="21" fillId="5" fontId="5" numFmtId="0" xfId="0" applyAlignment="1" applyBorder="1" applyFont="1">
      <alignment shrinkToFit="0" vertical="center" wrapText="1"/>
    </xf>
    <xf borderId="21" fillId="5" fontId="5" numFmtId="0" xfId="0" applyAlignment="1" applyBorder="1" applyFont="1">
      <alignment readingOrder="0" shrinkToFit="0" vertical="center" wrapText="1"/>
    </xf>
    <xf borderId="21" fillId="5" fontId="5" numFmtId="0" xfId="0" applyAlignment="1" applyBorder="1" applyFont="1">
      <alignment shrinkToFit="0" vertical="bottom" wrapText="1"/>
    </xf>
    <xf borderId="31" fillId="9" fontId="7" numFmtId="0" xfId="0" applyAlignment="1" applyBorder="1" applyFill="1" applyFont="1">
      <alignment shrinkToFit="0" vertical="bottom" wrapText="1"/>
    </xf>
    <xf borderId="4" fillId="9" fontId="7" numFmtId="0" xfId="0" applyAlignment="1" applyBorder="1" applyFont="1">
      <alignment horizontal="left" readingOrder="0" shrinkToFit="0" vertical="bottom" wrapText="1"/>
    </xf>
    <xf borderId="32" fillId="0" fontId="4" numFmtId="0" xfId="0" applyBorder="1" applyFont="1"/>
    <xf borderId="27" fillId="4" fontId="6" numFmtId="0" xfId="0" applyAlignment="1" applyBorder="1" applyFont="1">
      <alignment horizontal="center" readingOrder="0" shrinkToFit="0" vertical="center" wrapText="1"/>
    </xf>
    <xf borderId="27" fillId="0" fontId="6" numFmtId="0" xfId="0" applyAlignment="1" applyBorder="1" applyFont="1">
      <alignment horizontal="center" readingOrder="0" shrinkToFit="0" vertical="center" wrapText="1"/>
    </xf>
    <xf borderId="27" fillId="0" fontId="6" numFmtId="0" xfId="0" applyAlignment="1" applyBorder="1" applyFont="1">
      <alignment readingOrder="0" shrinkToFit="0" vertical="center" wrapText="1"/>
    </xf>
    <xf borderId="27" fillId="0" fontId="11" numFmtId="164" xfId="0" applyAlignment="1" applyBorder="1" applyFont="1" applyNumberFormat="1">
      <alignment horizontal="center" shrinkToFit="0" vertical="center" wrapText="1"/>
    </xf>
    <xf borderId="4" fillId="4" fontId="6" numFmtId="0" xfId="0" applyAlignment="1" applyBorder="1" applyFont="1">
      <alignment shrinkToFit="0" vertical="center" wrapText="1"/>
    </xf>
    <xf borderId="4" fillId="4"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6" numFmtId="0" xfId="0" applyAlignment="1" applyBorder="1" applyFont="1">
      <alignment readingOrder="0" shrinkToFit="0" vertical="top" wrapText="1"/>
    </xf>
    <xf borderId="27" fillId="4" fontId="6" numFmtId="0" xfId="0" applyAlignment="1" applyBorder="1" applyFont="1">
      <alignment shrinkToFit="0" vertical="center" wrapText="1"/>
    </xf>
    <xf borderId="0" fillId="0" fontId="12" numFmtId="0" xfId="0" applyAlignment="1" applyFont="1">
      <alignment readingOrder="0" vertical="center"/>
    </xf>
    <xf borderId="0" fillId="0" fontId="6" numFmtId="0" xfId="0" applyAlignment="1" applyFont="1">
      <alignment shrinkToFit="0" vertical="center" wrapText="0"/>
    </xf>
    <xf borderId="4" fillId="0" fontId="6" numFmtId="0" xfId="0" applyAlignment="1" applyBorder="1" applyFont="1">
      <alignment readingOrder="0" shrinkToFit="0" vertical="center" wrapText="0"/>
    </xf>
    <xf borderId="4" fillId="4" fontId="6" numFmtId="0" xfId="0" applyAlignment="1" applyBorder="1" applyFont="1">
      <alignment readingOrder="0" shrinkToFit="0" vertical="center" wrapText="1"/>
    </xf>
    <xf borderId="2" fillId="0" fontId="10" numFmtId="0" xfId="0" applyAlignment="1" applyBorder="1" applyFont="1">
      <alignment horizontal="center" shrinkToFit="0" vertical="center" wrapText="1"/>
    </xf>
    <xf borderId="33" fillId="0" fontId="4" numFmtId="0" xfId="0" applyBorder="1" applyFont="1"/>
    <xf borderId="2" fillId="4" fontId="6"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0" fontId="6" numFmtId="0" xfId="0" applyAlignment="1" applyBorder="1" applyFont="1">
      <alignment readingOrder="0" shrinkToFit="0" vertical="center" wrapText="1"/>
    </xf>
    <xf borderId="2" fillId="0" fontId="6" numFmtId="0" xfId="0" applyAlignment="1" applyBorder="1" applyFont="1">
      <alignment readingOrder="0" shrinkToFit="0" vertical="top" wrapText="1"/>
    </xf>
    <xf borderId="2" fillId="0" fontId="11" numFmtId="164" xfId="0" applyAlignment="1" applyBorder="1" applyFont="1" applyNumberFormat="1">
      <alignment horizontal="center" shrinkToFit="0" vertical="center" wrapText="1"/>
    </xf>
    <xf borderId="34" fillId="0" fontId="6" numFmtId="0" xfId="0" applyAlignment="1" applyBorder="1" applyFont="1">
      <alignment readingOrder="0" shrinkToFit="0" vertical="center" wrapText="1"/>
    </xf>
    <xf borderId="2" fillId="4" fontId="6" numFmtId="0" xfId="0" applyAlignment="1" applyBorder="1" applyFont="1">
      <alignment shrinkToFit="0" vertical="center" wrapText="1"/>
    </xf>
    <xf borderId="35"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6.5"/>
    <col customWidth="1" min="3" max="3" width="13.5"/>
    <col customWidth="1" min="4" max="4" width="53.25"/>
    <col customWidth="1" min="5" max="7" width="9.13"/>
    <col customWidth="1" min="8" max="26" width="8.0"/>
  </cols>
  <sheetData>
    <row r="1" ht="21.0" customHeight="1">
      <c r="A1" s="1"/>
      <c r="B1" s="1"/>
      <c r="C1" s="1"/>
      <c r="D1" s="1"/>
      <c r="E1" s="1"/>
      <c r="F1" s="1"/>
      <c r="G1" s="1"/>
      <c r="H1" s="1"/>
      <c r="I1" s="1"/>
      <c r="J1" s="1"/>
      <c r="K1" s="1"/>
      <c r="L1" s="1"/>
      <c r="M1" s="1"/>
      <c r="N1" s="1"/>
      <c r="O1" s="1"/>
      <c r="P1" s="1"/>
      <c r="Q1" s="1"/>
      <c r="R1" s="1"/>
      <c r="S1" s="1"/>
      <c r="T1" s="1"/>
      <c r="U1" s="1"/>
      <c r="V1" s="1"/>
      <c r="W1" s="1"/>
      <c r="X1" s="1"/>
      <c r="Y1" s="1"/>
      <c r="Z1" s="1"/>
    </row>
    <row r="2" ht="31.5" customHeight="1">
      <c r="A2" s="1"/>
      <c r="B2" s="2" t="s">
        <v>0</v>
      </c>
      <c r="E2" s="1"/>
      <c r="F2" s="1"/>
      <c r="G2" s="1"/>
      <c r="H2" s="1"/>
      <c r="I2" s="1"/>
      <c r="J2" s="1"/>
      <c r="K2" s="1"/>
      <c r="L2" s="1"/>
      <c r="M2" s="1"/>
      <c r="N2" s="1"/>
      <c r="O2" s="1"/>
      <c r="P2" s="1"/>
      <c r="Q2" s="1"/>
      <c r="R2" s="1"/>
      <c r="S2" s="1"/>
      <c r="T2" s="1"/>
      <c r="U2" s="1"/>
      <c r="V2" s="1"/>
      <c r="W2" s="1"/>
      <c r="X2" s="1"/>
      <c r="Y2" s="1"/>
      <c r="Z2" s="1"/>
    </row>
    <row r="3" ht="45.75" customHeight="1">
      <c r="A3" s="3" t="s">
        <v>1</v>
      </c>
      <c r="L3" s="3"/>
      <c r="M3" s="3"/>
      <c r="N3" s="3"/>
      <c r="O3" s="3"/>
      <c r="P3" s="3"/>
      <c r="Q3" s="1"/>
      <c r="R3" s="1"/>
      <c r="S3" s="1"/>
      <c r="T3" s="1"/>
      <c r="U3" s="1"/>
      <c r="V3" s="1"/>
      <c r="W3" s="1"/>
      <c r="X3" s="1"/>
      <c r="Y3" s="1"/>
      <c r="Z3" s="1"/>
    </row>
    <row r="4" ht="21.0" customHeight="1">
      <c r="A4" s="1"/>
      <c r="B4" s="1"/>
      <c r="C4" s="1"/>
      <c r="D4" s="1"/>
      <c r="E4" s="1"/>
      <c r="F4" s="1"/>
      <c r="G4" s="1"/>
      <c r="H4" s="1"/>
      <c r="I4" s="1"/>
      <c r="J4" s="1"/>
      <c r="K4" s="1"/>
      <c r="L4" s="1"/>
      <c r="M4" s="1"/>
      <c r="N4" s="1"/>
      <c r="O4" s="1"/>
      <c r="P4" s="1"/>
      <c r="Q4" s="1"/>
      <c r="R4" s="1"/>
      <c r="S4" s="1"/>
      <c r="T4" s="1"/>
      <c r="U4" s="1"/>
      <c r="V4" s="1"/>
      <c r="W4" s="1"/>
      <c r="X4" s="1"/>
      <c r="Y4" s="1"/>
      <c r="Z4" s="1"/>
    </row>
    <row r="5" ht="21.75" customHeight="1">
      <c r="A5" s="1"/>
      <c r="B5" s="4" t="s">
        <v>2</v>
      </c>
      <c r="C5" s="5" t="s">
        <v>3</v>
      </c>
      <c r="D5" s="1"/>
      <c r="E5" s="1"/>
      <c r="F5" s="1"/>
      <c r="G5" s="1"/>
      <c r="H5" s="1"/>
      <c r="I5" s="1"/>
      <c r="J5" s="1"/>
      <c r="K5" s="1"/>
      <c r="L5" s="1"/>
      <c r="M5" s="1"/>
      <c r="N5" s="1"/>
      <c r="O5" s="1"/>
      <c r="P5" s="1"/>
      <c r="Q5" s="1"/>
      <c r="R5" s="1"/>
      <c r="S5" s="1"/>
      <c r="T5" s="1"/>
      <c r="U5" s="1"/>
      <c r="V5" s="1"/>
      <c r="W5" s="1"/>
      <c r="X5" s="1"/>
      <c r="Y5" s="1"/>
      <c r="Z5" s="1"/>
    </row>
    <row r="6" ht="21.75" customHeight="1">
      <c r="A6" s="1"/>
      <c r="B6" s="6" t="s">
        <v>4</v>
      </c>
      <c r="C6" s="7" t="s">
        <v>5</v>
      </c>
      <c r="D6" s="8"/>
      <c r="E6" s="1"/>
      <c r="F6" s="1"/>
      <c r="G6" s="1"/>
      <c r="H6" s="1"/>
      <c r="I6" s="1"/>
      <c r="J6" s="1"/>
      <c r="K6" s="1"/>
      <c r="L6" s="1"/>
      <c r="M6" s="1"/>
      <c r="N6" s="1"/>
      <c r="O6" s="1"/>
      <c r="P6" s="1"/>
      <c r="Q6" s="1"/>
      <c r="R6" s="1"/>
      <c r="S6" s="1"/>
      <c r="T6" s="1"/>
      <c r="U6" s="1"/>
      <c r="V6" s="1"/>
      <c r="W6" s="1"/>
      <c r="X6" s="1"/>
      <c r="Y6" s="1"/>
      <c r="Z6" s="1"/>
    </row>
    <row r="7" ht="22.5" customHeight="1">
      <c r="A7" s="1"/>
      <c r="B7" s="9"/>
      <c r="C7" s="1"/>
      <c r="D7" s="1"/>
      <c r="E7" s="1"/>
      <c r="F7" s="1"/>
      <c r="G7" s="1"/>
      <c r="H7" s="1"/>
      <c r="I7" s="1"/>
      <c r="J7" s="1"/>
      <c r="K7" s="1"/>
      <c r="L7" s="1"/>
      <c r="M7" s="1"/>
      <c r="N7" s="1"/>
      <c r="O7" s="1"/>
      <c r="P7" s="1"/>
      <c r="Q7" s="1"/>
      <c r="R7" s="1"/>
      <c r="S7" s="1"/>
      <c r="T7" s="1"/>
      <c r="U7" s="1"/>
      <c r="V7" s="1"/>
      <c r="W7" s="1"/>
      <c r="X7" s="1"/>
      <c r="Y7" s="1"/>
      <c r="Z7" s="1"/>
    </row>
    <row r="8" ht="21.0" customHeight="1">
      <c r="A8" s="1"/>
      <c r="B8" s="10" t="s">
        <v>6</v>
      </c>
      <c r="C8" s="11" t="s">
        <v>7</v>
      </c>
      <c r="D8" s="12"/>
      <c r="E8" s="1"/>
      <c r="F8" s="1"/>
      <c r="G8" s="1"/>
      <c r="H8" s="1"/>
      <c r="I8" s="1"/>
      <c r="J8" s="1"/>
      <c r="K8" s="1"/>
      <c r="L8" s="1"/>
      <c r="M8" s="1"/>
      <c r="N8" s="1"/>
      <c r="O8" s="1"/>
      <c r="P8" s="1"/>
      <c r="Q8" s="1"/>
      <c r="R8" s="1"/>
      <c r="S8" s="1"/>
      <c r="T8" s="1"/>
      <c r="U8" s="1"/>
      <c r="V8" s="1"/>
      <c r="W8" s="1"/>
      <c r="X8" s="1"/>
      <c r="Y8" s="1"/>
      <c r="Z8" s="1"/>
    </row>
    <row r="9" ht="21.0" customHeight="1">
      <c r="A9" s="1"/>
      <c r="B9" s="13" t="s">
        <v>8</v>
      </c>
      <c r="C9" s="14" t="s">
        <v>9</v>
      </c>
      <c r="D9" s="15"/>
      <c r="E9" s="1"/>
      <c r="F9" s="1"/>
      <c r="G9" s="1"/>
      <c r="H9" s="1"/>
      <c r="I9" s="1"/>
      <c r="J9" s="1"/>
      <c r="K9" s="1"/>
      <c r="L9" s="1"/>
      <c r="M9" s="1"/>
      <c r="N9" s="1"/>
      <c r="O9" s="1"/>
      <c r="P9" s="1"/>
      <c r="Q9" s="1"/>
      <c r="R9" s="1"/>
      <c r="S9" s="1"/>
      <c r="T9" s="1"/>
      <c r="U9" s="1"/>
      <c r="V9" s="1"/>
      <c r="W9" s="1"/>
      <c r="X9" s="1"/>
      <c r="Y9" s="1"/>
      <c r="Z9" s="1"/>
    </row>
    <row r="10" ht="21.0" customHeight="1">
      <c r="A10" s="1"/>
      <c r="B10" s="13" t="s">
        <v>10</v>
      </c>
      <c r="C10" s="16" t="s">
        <v>11</v>
      </c>
      <c r="D10" s="15"/>
      <c r="E10" s="1"/>
      <c r="F10" s="1"/>
      <c r="G10" s="1"/>
      <c r="H10" s="1"/>
      <c r="I10" s="1"/>
      <c r="J10" s="1"/>
      <c r="K10" s="1"/>
      <c r="L10" s="1"/>
      <c r="M10" s="1"/>
      <c r="N10" s="1"/>
      <c r="O10" s="1"/>
      <c r="P10" s="1"/>
      <c r="Q10" s="1"/>
      <c r="R10" s="1"/>
      <c r="S10" s="1"/>
      <c r="T10" s="1"/>
      <c r="U10" s="1"/>
      <c r="V10" s="1"/>
      <c r="W10" s="1"/>
      <c r="X10" s="1"/>
      <c r="Y10" s="1"/>
      <c r="Z10" s="1"/>
    </row>
    <row r="11" ht="21.0" customHeight="1">
      <c r="A11" s="1"/>
      <c r="B11" s="13" t="s">
        <v>12</v>
      </c>
      <c r="C11" s="14" t="s">
        <v>13</v>
      </c>
      <c r="D11" s="15"/>
      <c r="E11" s="1"/>
      <c r="F11" s="1"/>
      <c r="G11" s="1"/>
      <c r="H11" s="1"/>
      <c r="I11" s="1"/>
      <c r="J11" s="1"/>
      <c r="K11" s="1"/>
      <c r="L11" s="1"/>
      <c r="M11" s="1"/>
      <c r="N11" s="1"/>
      <c r="O11" s="1"/>
      <c r="P11" s="1"/>
      <c r="Q11" s="1"/>
      <c r="R11" s="1"/>
      <c r="S11" s="1"/>
      <c r="T11" s="1"/>
      <c r="U11" s="1"/>
      <c r="V11" s="1"/>
      <c r="W11" s="1"/>
      <c r="X11" s="1"/>
      <c r="Y11" s="1"/>
      <c r="Z11" s="1"/>
    </row>
    <row r="12" ht="21.0" customHeight="1">
      <c r="A12" s="1"/>
      <c r="B12" s="13" t="s">
        <v>14</v>
      </c>
      <c r="C12" s="14" t="s">
        <v>15</v>
      </c>
      <c r="D12" s="15"/>
      <c r="E12" s="1"/>
      <c r="F12" s="1"/>
      <c r="G12" s="1"/>
      <c r="H12" s="1"/>
      <c r="I12" s="1"/>
      <c r="J12" s="1"/>
      <c r="K12" s="1"/>
      <c r="L12" s="1"/>
      <c r="M12" s="1"/>
      <c r="N12" s="1"/>
      <c r="O12" s="1"/>
      <c r="P12" s="1"/>
      <c r="Q12" s="1"/>
      <c r="R12" s="1"/>
      <c r="S12" s="1"/>
      <c r="T12" s="1"/>
      <c r="U12" s="1"/>
      <c r="V12" s="1"/>
      <c r="W12" s="1"/>
      <c r="X12" s="1"/>
      <c r="Y12" s="1"/>
      <c r="Z12" s="1"/>
    </row>
    <row r="13" ht="21.0" customHeight="1">
      <c r="A13" s="1"/>
      <c r="B13" s="17" t="s">
        <v>16</v>
      </c>
      <c r="C13" s="18" t="s">
        <v>17</v>
      </c>
      <c r="D13" s="19"/>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B2:D2"/>
    <mergeCell ref="C6:D6"/>
    <mergeCell ref="C8:D8"/>
    <mergeCell ref="C9:D9"/>
    <mergeCell ref="C10:D10"/>
    <mergeCell ref="C11:D11"/>
    <mergeCell ref="A3:K3"/>
    <mergeCell ref="C12:D12"/>
    <mergeCell ref="C13:D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0.5"/>
    <col customWidth="1" min="5" max="5" width="17.13"/>
    <col customWidth="1" min="6" max="6" width="16.5"/>
    <col customWidth="1" min="7" max="7" width="20.75"/>
    <col customWidth="1" min="8" max="8" width="11.5"/>
    <col customWidth="1" min="9" max="26" width="8.0"/>
  </cols>
  <sheetData>
    <row r="1" ht="15.0" customHeight="1">
      <c r="A1" s="20" t="s">
        <v>18</v>
      </c>
      <c r="B1" s="21"/>
      <c r="C1" s="21"/>
      <c r="D1" s="21"/>
      <c r="E1" s="21"/>
      <c r="F1" s="21"/>
      <c r="G1" s="22"/>
      <c r="H1" s="23"/>
      <c r="I1" s="23"/>
      <c r="J1" s="23"/>
      <c r="K1" s="23"/>
      <c r="L1" s="23"/>
      <c r="M1" s="23"/>
      <c r="N1" s="23"/>
      <c r="O1" s="23"/>
      <c r="P1" s="23"/>
      <c r="Q1" s="23"/>
      <c r="R1" s="23"/>
      <c r="S1" s="23"/>
      <c r="T1" s="23"/>
      <c r="U1" s="23"/>
      <c r="V1" s="23"/>
      <c r="W1" s="23"/>
      <c r="X1" s="23"/>
      <c r="Y1" s="23"/>
      <c r="Z1" s="23"/>
    </row>
    <row r="2" ht="36.75" customHeight="1">
      <c r="A2" s="24" t="s">
        <v>19</v>
      </c>
      <c r="B2" s="25"/>
      <c r="C2" s="25"/>
      <c r="D2" s="25"/>
      <c r="E2" s="25"/>
      <c r="F2" s="25"/>
      <c r="G2" s="26"/>
      <c r="H2" s="23"/>
      <c r="I2" s="23"/>
      <c r="J2" s="23"/>
      <c r="K2" s="23"/>
      <c r="L2" s="23"/>
      <c r="M2" s="23"/>
      <c r="N2" s="23"/>
      <c r="O2" s="23"/>
      <c r="P2" s="23"/>
      <c r="Q2" s="23"/>
      <c r="R2" s="23"/>
      <c r="S2" s="23"/>
      <c r="T2" s="23"/>
      <c r="U2" s="23"/>
      <c r="V2" s="23"/>
      <c r="W2" s="23"/>
      <c r="X2" s="23"/>
      <c r="Y2" s="23"/>
      <c r="Z2" s="23"/>
    </row>
    <row r="3" ht="13.5" customHeight="1">
      <c r="A3" s="27"/>
      <c r="B3" s="28"/>
      <c r="C3" s="28"/>
      <c r="D3" s="28"/>
      <c r="E3" s="27"/>
      <c r="F3" s="28"/>
      <c r="G3" s="27"/>
      <c r="H3" s="23"/>
      <c r="I3" s="23"/>
      <c r="J3" s="23"/>
      <c r="K3" s="23"/>
      <c r="L3" s="23"/>
      <c r="M3" s="23"/>
      <c r="N3" s="23"/>
      <c r="O3" s="23"/>
      <c r="P3" s="23"/>
      <c r="Q3" s="23"/>
      <c r="R3" s="23"/>
      <c r="S3" s="23"/>
      <c r="T3" s="23"/>
      <c r="U3" s="23"/>
      <c r="V3" s="23"/>
      <c r="W3" s="23"/>
      <c r="X3" s="23"/>
      <c r="Y3" s="23"/>
      <c r="Z3" s="23"/>
    </row>
    <row r="4" ht="25.5" customHeight="1">
      <c r="A4" s="29" t="s">
        <v>20</v>
      </c>
      <c r="B4" s="30" t="s">
        <v>21</v>
      </c>
      <c r="C4" s="31"/>
      <c r="D4" s="29" t="s">
        <v>22</v>
      </c>
      <c r="E4" s="32" t="s">
        <v>23</v>
      </c>
      <c r="F4" s="29" t="s">
        <v>24</v>
      </c>
      <c r="G4" s="29" t="s">
        <v>25</v>
      </c>
      <c r="H4" s="23"/>
      <c r="I4" s="23"/>
      <c r="J4" s="23"/>
      <c r="K4" s="23"/>
      <c r="L4" s="23"/>
      <c r="M4" s="23"/>
      <c r="N4" s="23"/>
      <c r="O4" s="23"/>
      <c r="P4" s="23"/>
      <c r="Q4" s="23"/>
      <c r="R4" s="23"/>
      <c r="S4" s="23"/>
      <c r="T4" s="23"/>
      <c r="U4" s="23"/>
      <c r="V4" s="23"/>
      <c r="W4" s="23"/>
      <c r="X4" s="23"/>
      <c r="Y4" s="23"/>
      <c r="Z4" s="23"/>
    </row>
    <row r="5" ht="12.75" customHeight="1">
      <c r="A5" s="33" t="s">
        <v>26</v>
      </c>
      <c r="H5" s="23"/>
      <c r="I5" s="23"/>
      <c r="J5" s="23"/>
      <c r="K5" s="23"/>
      <c r="L5" s="23"/>
      <c r="M5" s="23"/>
      <c r="N5" s="23"/>
      <c r="O5" s="23"/>
      <c r="P5" s="23"/>
      <c r="Q5" s="23"/>
      <c r="R5" s="23"/>
      <c r="S5" s="23"/>
      <c r="T5" s="23"/>
      <c r="U5" s="23"/>
      <c r="V5" s="23"/>
      <c r="W5" s="23"/>
      <c r="X5" s="23"/>
      <c r="Y5" s="23"/>
      <c r="Z5" s="23"/>
    </row>
    <row r="6" ht="12.75" customHeight="1">
      <c r="A6" s="34" t="s">
        <v>27</v>
      </c>
      <c r="B6" s="35"/>
      <c r="C6" s="35"/>
      <c r="D6" s="35"/>
      <c r="E6" s="35"/>
      <c r="F6" s="35"/>
      <c r="G6" s="35"/>
      <c r="H6" s="23"/>
      <c r="I6" s="23"/>
      <c r="J6" s="23"/>
      <c r="K6" s="23"/>
      <c r="L6" s="23"/>
      <c r="M6" s="23"/>
      <c r="N6" s="23"/>
      <c r="O6" s="23"/>
      <c r="P6" s="23"/>
      <c r="Q6" s="23"/>
      <c r="R6" s="23"/>
      <c r="S6" s="23"/>
      <c r="T6" s="23"/>
      <c r="U6" s="23"/>
      <c r="V6" s="23"/>
      <c r="W6" s="23"/>
      <c r="X6" s="23"/>
      <c r="Y6" s="23"/>
      <c r="Z6" s="23"/>
    </row>
    <row r="7" ht="12.75" customHeight="1">
      <c r="A7" s="34" t="s">
        <v>28</v>
      </c>
      <c r="B7" s="35"/>
      <c r="C7" s="35"/>
      <c r="D7" s="35"/>
      <c r="E7" s="35"/>
      <c r="F7" s="35"/>
      <c r="G7" s="35"/>
      <c r="H7" s="23"/>
      <c r="I7" s="23"/>
      <c r="J7" s="23"/>
      <c r="K7" s="23"/>
      <c r="L7" s="23"/>
      <c r="M7" s="23"/>
      <c r="N7" s="23"/>
      <c r="O7" s="23"/>
      <c r="P7" s="23"/>
      <c r="Q7" s="23"/>
      <c r="R7" s="23"/>
      <c r="S7" s="23"/>
      <c r="T7" s="23"/>
      <c r="U7" s="23"/>
      <c r="V7" s="23"/>
      <c r="W7" s="23"/>
      <c r="X7" s="23"/>
      <c r="Y7" s="23"/>
      <c r="Z7" s="23"/>
    </row>
    <row r="8" ht="13.5" customHeight="1">
      <c r="A8" s="36"/>
      <c r="B8" s="37"/>
      <c r="C8" s="37"/>
      <c r="D8" s="37"/>
      <c r="E8" s="37"/>
      <c r="F8" s="37"/>
      <c r="G8" s="37"/>
      <c r="H8" s="23"/>
      <c r="I8" s="23"/>
      <c r="J8" s="23"/>
      <c r="K8" s="23"/>
      <c r="L8" s="23"/>
      <c r="M8" s="23"/>
      <c r="N8" s="23"/>
      <c r="O8" s="23"/>
      <c r="P8" s="23"/>
      <c r="Q8" s="23"/>
      <c r="R8" s="23"/>
      <c r="S8" s="23"/>
      <c r="T8" s="23"/>
      <c r="U8" s="23"/>
      <c r="V8" s="23"/>
      <c r="W8" s="23"/>
      <c r="X8" s="23"/>
      <c r="Y8" s="23"/>
      <c r="Z8" s="23"/>
    </row>
    <row r="9" ht="29.25" customHeight="1">
      <c r="A9" s="38">
        <v>1.0</v>
      </c>
      <c r="B9" s="39" t="s">
        <v>29</v>
      </c>
      <c r="C9" s="8"/>
      <c r="D9" s="40" t="s">
        <v>30</v>
      </c>
      <c r="E9" s="41"/>
      <c r="F9" s="42"/>
      <c r="G9" s="43" t="s">
        <v>31</v>
      </c>
      <c r="H9" s="23"/>
      <c r="I9" s="23"/>
      <c r="J9" s="23"/>
      <c r="K9" s="23"/>
      <c r="L9" s="23"/>
      <c r="M9" s="23"/>
      <c r="N9" s="23"/>
      <c r="O9" s="23"/>
      <c r="P9" s="23"/>
      <c r="Q9" s="23"/>
      <c r="R9" s="23"/>
      <c r="S9" s="23"/>
      <c r="T9" s="23"/>
      <c r="U9" s="23"/>
      <c r="V9" s="23"/>
      <c r="W9" s="23"/>
      <c r="X9" s="23"/>
      <c r="Y9" s="23"/>
      <c r="Z9" s="23"/>
    </row>
    <row r="10" ht="12.75" customHeight="1">
      <c r="A10" s="33" t="s">
        <v>32</v>
      </c>
      <c r="H10" s="23"/>
      <c r="I10" s="23"/>
      <c r="J10" s="23"/>
      <c r="K10" s="23"/>
      <c r="L10" s="23"/>
      <c r="M10" s="23"/>
      <c r="N10" s="23"/>
      <c r="O10" s="23"/>
      <c r="P10" s="23"/>
      <c r="Q10" s="23"/>
      <c r="R10" s="23"/>
      <c r="S10" s="23"/>
      <c r="T10" s="23"/>
      <c r="U10" s="23"/>
      <c r="V10" s="23"/>
      <c r="W10" s="23"/>
      <c r="X10" s="23"/>
      <c r="Y10" s="23"/>
      <c r="Z10" s="23"/>
    </row>
    <row r="11" ht="12.75" customHeight="1">
      <c r="A11" s="34" t="s">
        <v>27</v>
      </c>
      <c r="B11" s="35"/>
      <c r="C11" s="35"/>
      <c r="D11" s="35"/>
      <c r="E11" s="35"/>
      <c r="F11" s="35"/>
      <c r="G11" s="35"/>
      <c r="H11" s="23"/>
      <c r="I11" s="23"/>
      <c r="J11" s="23"/>
      <c r="K11" s="23"/>
      <c r="L11" s="23"/>
      <c r="M11" s="23"/>
      <c r="N11" s="23"/>
      <c r="O11" s="23"/>
      <c r="P11" s="23"/>
      <c r="Q11" s="23"/>
      <c r="R11" s="23"/>
      <c r="S11" s="23"/>
      <c r="T11" s="23"/>
      <c r="U11" s="23"/>
      <c r="V11" s="23"/>
      <c r="W11" s="23"/>
      <c r="X11" s="23"/>
      <c r="Y11" s="23"/>
      <c r="Z11" s="23"/>
    </row>
    <row r="12" ht="12.75" customHeight="1">
      <c r="A12" s="34" t="s">
        <v>28</v>
      </c>
      <c r="B12" s="35"/>
      <c r="C12" s="35"/>
      <c r="D12" s="35"/>
      <c r="E12" s="35"/>
      <c r="F12" s="35"/>
      <c r="G12" s="35"/>
      <c r="H12" s="23"/>
      <c r="I12" s="23"/>
      <c r="J12" s="23"/>
      <c r="K12" s="23"/>
      <c r="L12" s="23"/>
      <c r="M12" s="23"/>
      <c r="N12" s="23"/>
      <c r="O12" s="23"/>
      <c r="P12" s="23"/>
      <c r="Q12" s="23"/>
      <c r="R12" s="23"/>
      <c r="S12" s="23"/>
      <c r="T12" s="23"/>
      <c r="U12" s="23"/>
      <c r="V12" s="23"/>
      <c r="W12" s="23"/>
      <c r="X12" s="23"/>
      <c r="Y12" s="23"/>
      <c r="Z12" s="23"/>
    </row>
    <row r="13" ht="12.75" customHeight="1">
      <c r="A13" s="36"/>
      <c r="B13" s="37"/>
      <c r="C13" s="37"/>
      <c r="D13" s="37"/>
      <c r="E13" s="37"/>
      <c r="F13" s="37"/>
      <c r="G13" s="37"/>
      <c r="H13" s="23"/>
      <c r="I13" s="23"/>
      <c r="J13" s="23"/>
      <c r="K13" s="23"/>
      <c r="L13" s="23"/>
      <c r="M13" s="23"/>
      <c r="N13" s="23"/>
      <c r="O13" s="23"/>
      <c r="P13" s="23"/>
      <c r="Q13" s="23"/>
      <c r="R13" s="23"/>
      <c r="S13" s="23"/>
      <c r="T13" s="23"/>
      <c r="U13" s="23"/>
      <c r="V13" s="23"/>
      <c r="W13" s="23"/>
      <c r="X13" s="23"/>
      <c r="Y13" s="23"/>
      <c r="Z13" s="23"/>
    </row>
    <row r="14" ht="12.75" customHeight="1">
      <c r="A14" s="38">
        <v>1.0</v>
      </c>
      <c r="B14" s="39" t="s">
        <v>33</v>
      </c>
      <c r="C14" s="8"/>
      <c r="D14" s="40" t="s">
        <v>34</v>
      </c>
      <c r="E14" s="41"/>
      <c r="F14" s="42"/>
      <c r="G14" s="43" t="s">
        <v>31</v>
      </c>
      <c r="H14" s="23"/>
      <c r="I14" s="23"/>
      <c r="J14" s="23"/>
      <c r="K14" s="23"/>
      <c r="L14" s="23"/>
      <c r="M14" s="23"/>
      <c r="N14" s="23"/>
      <c r="O14" s="23"/>
      <c r="P14" s="23"/>
      <c r="Q14" s="23"/>
      <c r="R14" s="23"/>
      <c r="S14" s="23"/>
      <c r="T14" s="23"/>
      <c r="U14" s="23"/>
      <c r="V14" s="23"/>
      <c r="W14" s="23"/>
      <c r="X14" s="23"/>
      <c r="Y14" s="23"/>
      <c r="Z14" s="23"/>
    </row>
    <row r="15" ht="12.75" customHeight="1">
      <c r="A15" s="33" t="s">
        <v>35</v>
      </c>
      <c r="H15" s="23"/>
      <c r="I15" s="23"/>
      <c r="J15" s="23"/>
      <c r="K15" s="23"/>
      <c r="L15" s="23"/>
      <c r="M15" s="23"/>
      <c r="N15" s="23"/>
      <c r="O15" s="23"/>
      <c r="P15" s="23"/>
      <c r="Q15" s="23"/>
      <c r="R15" s="23"/>
      <c r="S15" s="23"/>
      <c r="T15" s="23"/>
      <c r="U15" s="23"/>
      <c r="V15" s="23"/>
      <c r="W15" s="23"/>
      <c r="X15" s="23"/>
      <c r="Y15" s="23"/>
      <c r="Z15" s="23"/>
    </row>
    <row r="16" ht="12.75" customHeight="1">
      <c r="A16" s="34" t="s">
        <v>27</v>
      </c>
      <c r="B16" s="35"/>
      <c r="C16" s="35"/>
      <c r="D16" s="35"/>
      <c r="E16" s="35"/>
      <c r="F16" s="35"/>
      <c r="G16" s="35"/>
      <c r="H16" s="23"/>
      <c r="I16" s="23"/>
      <c r="J16" s="23"/>
      <c r="K16" s="23"/>
      <c r="L16" s="23"/>
      <c r="M16" s="23"/>
      <c r="N16" s="23"/>
      <c r="O16" s="23"/>
      <c r="P16" s="23"/>
      <c r="Q16" s="23"/>
      <c r="R16" s="23"/>
      <c r="S16" s="23"/>
      <c r="T16" s="23"/>
      <c r="U16" s="23"/>
      <c r="V16" s="23"/>
      <c r="W16" s="23"/>
      <c r="X16" s="23"/>
      <c r="Y16" s="23"/>
      <c r="Z16" s="23"/>
    </row>
    <row r="17" ht="12.75" customHeight="1">
      <c r="A17" s="34" t="s">
        <v>28</v>
      </c>
      <c r="B17" s="35"/>
      <c r="C17" s="35"/>
      <c r="D17" s="35"/>
      <c r="E17" s="35"/>
      <c r="F17" s="35"/>
      <c r="G17" s="35"/>
      <c r="H17" s="23"/>
      <c r="I17" s="23"/>
      <c r="J17" s="23"/>
      <c r="K17" s="23"/>
      <c r="L17" s="23"/>
      <c r="M17" s="23"/>
      <c r="N17" s="23"/>
      <c r="O17" s="23"/>
      <c r="P17" s="23"/>
      <c r="Q17" s="23"/>
      <c r="R17" s="23"/>
      <c r="S17" s="23"/>
      <c r="T17" s="23"/>
      <c r="U17" s="23"/>
      <c r="V17" s="23"/>
      <c r="W17" s="23"/>
      <c r="X17" s="23"/>
      <c r="Y17" s="23"/>
      <c r="Z17" s="23"/>
    </row>
    <row r="18" ht="12.75" customHeight="1">
      <c r="A18" s="36"/>
      <c r="B18" s="37"/>
      <c r="C18" s="37"/>
      <c r="D18" s="37"/>
      <c r="E18" s="37"/>
      <c r="F18" s="37"/>
      <c r="G18" s="37"/>
      <c r="H18" s="23"/>
      <c r="I18" s="23"/>
      <c r="J18" s="23"/>
      <c r="K18" s="23"/>
      <c r="L18" s="23"/>
      <c r="M18" s="23"/>
      <c r="N18" s="23"/>
      <c r="O18" s="23"/>
      <c r="P18" s="23"/>
      <c r="Q18" s="23"/>
      <c r="R18" s="23"/>
      <c r="S18" s="23"/>
      <c r="T18" s="23"/>
      <c r="U18" s="23"/>
      <c r="V18" s="23"/>
      <c r="W18" s="23"/>
      <c r="X18" s="23"/>
      <c r="Y18" s="23"/>
      <c r="Z18" s="23"/>
    </row>
    <row r="19" ht="12.75" customHeight="1">
      <c r="A19" s="38">
        <v>1.0</v>
      </c>
      <c r="B19" s="39" t="s">
        <v>36</v>
      </c>
      <c r="C19" s="8"/>
      <c r="D19" s="40" t="s">
        <v>37</v>
      </c>
      <c r="E19" s="41"/>
      <c r="F19" s="42"/>
      <c r="G19" s="43" t="s">
        <v>31</v>
      </c>
      <c r="H19" s="23"/>
      <c r="I19" s="23"/>
      <c r="J19" s="23"/>
      <c r="K19" s="23"/>
      <c r="L19" s="23"/>
      <c r="M19" s="23"/>
      <c r="N19" s="23"/>
      <c r="O19" s="23"/>
      <c r="P19" s="23"/>
      <c r="Q19" s="23"/>
      <c r="R19" s="23"/>
      <c r="S19" s="23"/>
      <c r="T19" s="23"/>
      <c r="U19" s="23"/>
      <c r="V19" s="23"/>
      <c r="W19" s="23"/>
      <c r="X19" s="23"/>
      <c r="Y19" s="23"/>
      <c r="Z19" s="23"/>
    </row>
    <row r="20" ht="12.75" customHeight="1">
      <c r="A20" s="33" t="s">
        <v>38</v>
      </c>
      <c r="H20" s="23"/>
      <c r="I20" s="23"/>
      <c r="J20" s="23"/>
      <c r="K20" s="23"/>
      <c r="L20" s="23"/>
      <c r="M20" s="23"/>
      <c r="N20" s="23"/>
      <c r="O20" s="23"/>
      <c r="P20" s="23"/>
      <c r="Q20" s="23"/>
      <c r="R20" s="23"/>
      <c r="S20" s="23"/>
      <c r="T20" s="23"/>
      <c r="U20" s="23"/>
      <c r="V20" s="23"/>
      <c r="W20" s="23"/>
      <c r="X20" s="23"/>
      <c r="Y20" s="23"/>
      <c r="Z20" s="23"/>
    </row>
    <row r="21" ht="12.75" customHeight="1">
      <c r="A21" s="34" t="s">
        <v>27</v>
      </c>
      <c r="B21" s="35"/>
      <c r="C21" s="35"/>
      <c r="D21" s="35"/>
      <c r="E21" s="35"/>
      <c r="F21" s="35"/>
      <c r="G21" s="35"/>
      <c r="H21" s="23"/>
      <c r="I21" s="23"/>
      <c r="J21" s="23"/>
      <c r="K21" s="23"/>
      <c r="L21" s="23"/>
      <c r="M21" s="23"/>
      <c r="N21" s="23"/>
      <c r="O21" s="23"/>
      <c r="P21" s="23"/>
      <c r="Q21" s="23"/>
      <c r="R21" s="23"/>
      <c r="S21" s="23"/>
      <c r="T21" s="23"/>
      <c r="U21" s="23"/>
      <c r="V21" s="23"/>
      <c r="W21" s="23"/>
      <c r="X21" s="23"/>
      <c r="Y21" s="23"/>
      <c r="Z21" s="23"/>
    </row>
    <row r="22" ht="12.75" customHeight="1">
      <c r="A22" s="34" t="s">
        <v>28</v>
      </c>
      <c r="B22" s="35"/>
      <c r="C22" s="35"/>
      <c r="D22" s="35"/>
      <c r="E22" s="35"/>
      <c r="F22" s="35"/>
      <c r="G22" s="35"/>
      <c r="H22" s="23"/>
      <c r="I22" s="23"/>
      <c r="J22" s="23"/>
      <c r="K22" s="23"/>
      <c r="L22" s="23"/>
      <c r="M22" s="23"/>
      <c r="N22" s="23"/>
      <c r="O22" s="23"/>
      <c r="P22" s="23"/>
      <c r="Q22" s="23"/>
      <c r="R22" s="23"/>
      <c r="S22" s="23"/>
      <c r="T22" s="23"/>
      <c r="U22" s="23"/>
      <c r="V22" s="23"/>
      <c r="W22" s="23"/>
      <c r="X22" s="23"/>
      <c r="Y22" s="23"/>
      <c r="Z22" s="23"/>
    </row>
    <row r="23" ht="12.75" customHeight="1">
      <c r="A23" s="36"/>
      <c r="B23" s="37"/>
      <c r="C23" s="37"/>
      <c r="D23" s="37"/>
      <c r="E23" s="37"/>
      <c r="F23" s="37"/>
      <c r="G23" s="37"/>
      <c r="H23" s="23"/>
      <c r="I23" s="23"/>
      <c r="J23" s="23"/>
      <c r="K23" s="23"/>
      <c r="L23" s="23"/>
      <c r="M23" s="23"/>
      <c r="N23" s="23"/>
      <c r="O23" s="23"/>
      <c r="P23" s="23"/>
      <c r="Q23" s="23"/>
      <c r="R23" s="23"/>
      <c r="S23" s="23"/>
      <c r="T23" s="23"/>
      <c r="U23" s="23"/>
      <c r="V23" s="23"/>
      <c r="W23" s="23"/>
      <c r="X23" s="23"/>
      <c r="Y23" s="23"/>
      <c r="Z23" s="23"/>
    </row>
    <row r="24" ht="12.75" customHeight="1">
      <c r="A24" s="38">
        <v>1.0</v>
      </c>
      <c r="B24" s="39" t="s">
        <v>39</v>
      </c>
      <c r="C24" s="8"/>
      <c r="D24" s="40" t="s">
        <v>40</v>
      </c>
      <c r="E24" s="41"/>
      <c r="F24" s="42"/>
      <c r="G24" s="43" t="s">
        <v>31</v>
      </c>
      <c r="H24" s="23"/>
      <c r="I24" s="23"/>
      <c r="J24" s="23"/>
      <c r="K24" s="23"/>
      <c r="L24" s="23"/>
      <c r="M24" s="23"/>
      <c r="N24" s="23"/>
      <c r="O24" s="23"/>
      <c r="P24" s="23"/>
      <c r="Q24" s="23"/>
      <c r="R24" s="23"/>
      <c r="S24" s="23"/>
      <c r="T24" s="23"/>
      <c r="U24" s="23"/>
      <c r="V24" s="23"/>
      <c r="W24" s="23"/>
      <c r="X24" s="23"/>
      <c r="Y24" s="23"/>
      <c r="Z24" s="23"/>
    </row>
    <row r="25" ht="12.75" customHeight="1">
      <c r="A25" s="33" t="s">
        <v>41</v>
      </c>
      <c r="H25" s="23"/>
      <c r="I25" s="23"/>
      <c r="J25" s="23"/>
      <c r="K25" s="23"/>
      <c r="L25" s="23"/>
      <c r="M25" s="23"/>
      <c r="N25" s="23"/>
      <c r="O25" s="23"/>
      <c r="P25" s="23"/>
      <c r="Q25" s="23"/>
      <c r="R25" s="23"/>
      <c r="S25" s="23"/>
      <c r="T25" s="23"/>
      <c r="U25" s="23"/>
      <c r="V25" s="23"/>
      <c r="W25" s="23"/>
      <c r="X25" s="23"/>
      <c r="Y25" s="23"/>
      <c r="Z25" s="23"/>
    </row>
    <row r="26" ht="12.75" customHeight="1">
      <c r="A26" s="34" t="s">
        <v>27</v>
      </c>
      <c r="B26" s="35"/>
      <c r="C26" s="35"/>
      <c r="D26" s="35"/>
      <c r="E26" s="35"/>
      <c r="F26" s="35"/>
      <c r="G26" s="35"/>
      <c r="H26" s="23"/>
      <c r="I26" s="23"/>
      <c r="J26" s="23"/>
      <c r="K26" s="23"/>
      <c r="L26" s="23"/>
      <c r="M26" s="23"/>
      <c r="N26" s="23"/>
      <c r="O26" s="23"/>
      <c r="P26" s="23"/>
      <c r="Q26" s="23"/>
      <c r="R26" s="23"/>
      <c r="S26" s="23"/>
      <c r="T26" s="23"/>
      <c r="U26" s="23"/>
      <c r="V26" s="23"/>
      <c r="W26" s="23"/>
      <c r="X26" s="23"/>
      <c r="Y26" s="23"/>
      <c r="Z26" s="23"/>
    </row>
    <row r="27" ht="12.75" customHeight="1">
      <c r="A27" s="34" t="s">
        <v>28</v>
      </c>
      <c r="B27" s="35"/>
      <c r="C27" s="35"/>
      <c r="D27" s="35"/>
      <c r="E27" s="35"/>
      <c r="F27" s="35"/>
      <c r="G27" s="35"/>
      <c r="H27" s="23"/>
      <c r="I27" s="23"/>
      <c r="J27" s="23"/>
      <c r="K27" s="23"/>
      <c r="L27" s="23"/>
      <c r="M27" s="23"/>
      <c r="N27" s="23"/>
      <c r="O27" s="23"/>
      <c r="P27" s="23"/>
      <c r="Q27" s="23"/>
      <c r="R27" s="23"/>
      <c r="S27" s="23"/>
      <c r="T27" s="23"/>
      <c r="U27" s="23"/>
      <c r="V27" s="23"/>
      <c r="W27" s="23"/>
      <c r="X27" s="23"/>
      <c r="Y27" s="23"/>
      <c r="Z27" s="23"/>
    </row>
    <row r="28" ht="12.75" customHeight="1">
      <c r="A28" s="36"/>
      <c r="B28" s="37"/>
      <c r="C28" s="37"/>
      <c r="D28" s="37"/>
      <c r="E28" s="37"/>
      <c r="F28" s="37"/>
      <c r="G28" s="37"/>
      <c r="H28" s="23"/>
      <c r="I28" s="23"/>
      <c r="J28" s="23"/>
      <c r="K28" s="23"/>
      <c r="L28" s="23"/>
      <c r="M28" s="23"/>
      <c r="N28" s="23"/>
      <c r="O28" s="23"/>
      <c r="P28" s="23"/>
      <c r="Q28" s="23"/>
      <c r="R28" s="23"/>
      <c r="S28" s="23"/>
      <c r="T28" s="23"/>
      <c r="U28" s="23"/>
      <c r="V28" s="23"/>
      <c r="W28" s="23"/>
      <c r="X28" s="23"/>
      <c r="Y28" s="23"/>
      <c r="Z28" s="23"/>
    </row>
    <row r="29" ht="12.75" customHeight="1">
      <c r="A29" s="38">
        <v>1.0</v>
      </c>
      <c r="B29" s="39" t="s">
        <v>42</v>
      </c>
      <c r="C29" s="8"/>
      <c r="D29" s="40" t="s">
        <v>43</v>
      </c>
      <c r="E29" s="41"/>
      <c r="F29" s="42"/>
      <c r="G29" s="43" t="s">
        <v>31</v>
      </c>
      <c r="H29" s="23"/>
      <c r="I29" s="23"/>
      <c r="J29" s="23"/>
      <c r="K29" s="23"/>
      <c r="L29" s="23"/>
      <c r="M29" s="23"/>
      <c r="N29" s="23"/>
      <c r="O29" s="23"/>
      <c r="P29" s="23"/>
      <c r="Q29" s="23"/>
      <c r="R29" s="23"/>
      <c r="S29" s="23"/>
      <c r="T29" s="23"/>
      <c r="U29" s="23"/>
      <c r="V29" s="23"/>
      <c r="W29" s="23"/>
      <c r="X29" s="23"/>
      <c r="Y29" s="23"/>
      <c r="Z29" s="23"/>
    </row>
    <row r="30" ht="12.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2.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2.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2.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2.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2.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2.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2.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2.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2.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2.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2.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2.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2.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2.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2.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2.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2.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2.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2.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2.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2.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2.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2.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2.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2.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2.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2.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2.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2.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2.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2.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2.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2.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2.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2.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2.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2.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2.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2.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2.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2.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2.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2.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2.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2.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2.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2.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2.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2.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2.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2.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2.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2.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2.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2.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2.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2.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2.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2.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2.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2.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2.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2.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2.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2.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2.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2.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2.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2.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2.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2.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2.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2.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2.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2.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2.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2.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2.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2.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2.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2.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2.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2.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2.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2.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2.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2.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2.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2.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2.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2.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2.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2.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2.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2.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2.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2.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2.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2.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2.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2.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2.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2.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2.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2.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2.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2.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2.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2.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2.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2.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2.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2.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2.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2.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2.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2.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2.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2.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2.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2.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2.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2.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2.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2.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2.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2.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2.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2.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2.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2.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2.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2.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2.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2.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2.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2.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2.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2.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2.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2.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2.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2.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2.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2.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2.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2.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2.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2.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2.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2.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2.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2.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2.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2.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2.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2.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2.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2.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2.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2.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2.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2.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2.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2.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2.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2.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2.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2.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2.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2.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2.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2.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2.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2.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2.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2.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2.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2.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2.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2.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2.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2.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2.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2.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2.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2.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2.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2.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2.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2.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2.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2.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2.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2.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2.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2.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2.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2.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2.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2.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2.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2.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2.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2.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2.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2.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2.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2.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2.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2.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2.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2.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2.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2.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2.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2.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2.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2.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2.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2.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2.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2.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2.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2.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2.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2.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2.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2.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2.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2.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2.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2.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2.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2.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2.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2.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2.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2.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2.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2.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2.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2.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2.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2.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2.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2.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2.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2.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2.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2.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2.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2.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2.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2.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2.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2.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2.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2.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2.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2.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2.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2.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2.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2.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2.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2.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2.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2.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2.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2.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2.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2.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2.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2.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2.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2.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2.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2.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2.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2.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2.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2.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2.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2.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2.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2.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2.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2.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2.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2.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2.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2.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2.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2.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2.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2.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2.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2.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2.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2.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2.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2.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2.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2.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2.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2.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2.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2.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2.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2.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2.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2.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2.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2.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2.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2.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2.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2.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2.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2.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2.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2.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2.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2.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2.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2.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2.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2.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2.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2.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2.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2.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2.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2.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2.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2.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2.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2.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2.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2.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2.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2.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2.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2.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2.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2.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2.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2.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2.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2.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2.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2.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2.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2.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2.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2.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2.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2.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2.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2.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2.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2.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2.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2.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2.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2.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2.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2.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2.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2.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2.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2.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2.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2.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2.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2.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2.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2.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2.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2.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2.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2.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2.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2.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2.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2.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2.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2.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2.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2.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2.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2.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2.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2.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2.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2.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2.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2.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2.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2.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2.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2.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2.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2.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2.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2.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2.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2.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2.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2.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2.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2.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2.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2.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2.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2.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2.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2.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2.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2.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2.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2.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2.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2.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2.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2.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2.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2.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2.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2.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2.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2.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2.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2.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2.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2.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2.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2.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2.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2.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2.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2.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2.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2.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2.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2.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2.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2.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2.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2.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2.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2.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2.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2.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2.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2.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2.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2.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2.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2.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2.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2.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2.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2.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2.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2.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2.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2.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2.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2.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2.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2.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2.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2.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2.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2.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2.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2.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2.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2.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2.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2.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2.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2.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2.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2.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2.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2.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2.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2.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2.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2.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2.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2.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2.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2.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2.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2.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2.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2.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2.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2.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2.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2.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2.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2.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2.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2.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2.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2.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2.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2.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2.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2.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2.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2.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2.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2.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2.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2.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2.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2.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2.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2.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2.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2.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2.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2.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2.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2.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2.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2.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2.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2.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2.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2.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2.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2.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2.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2.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2.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2.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2.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2.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2.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2.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2.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2.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2.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2.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2.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2.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2.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2.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2.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2.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2.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2.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2.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2.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2.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2.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2.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2.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2.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2.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2.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2.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2.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2.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2.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2.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2.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2.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2.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2.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2.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2.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2.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2.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2.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2.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2.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2.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2.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2.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2.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2.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2.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2.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2.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2.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2.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2.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2.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2.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2.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2.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2.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2.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2.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2.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2.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2.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2.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2.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2.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2.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2.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2.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2.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2.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2.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2.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2.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2.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2.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2.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2.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2.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2.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2.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2.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2.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2.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2.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2.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2.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2.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2.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2.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2.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2.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2.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2.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2.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2.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2.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2.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2.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2.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2.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2.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2.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2.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2.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2.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2.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2.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2.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2.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2.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2.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2.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2.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2.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2.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2.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2.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2.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2.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2.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2.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2.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2.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2.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2.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2.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2.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2.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2.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2.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2.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2.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2.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2.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2.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2.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2.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2.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2.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2.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2.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2.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2.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2.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2.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2.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2.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2.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2.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2.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2.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2.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2.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2.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2.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2.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2.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2.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2.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2.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2.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2.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2.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2.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2.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2.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2.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2.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2.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2.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2.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2.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2.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2.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2.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2.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2.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2.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2.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2.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2.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2.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2.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2.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2.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2.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2.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2.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2.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2.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2.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2.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2.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2.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2.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2.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2.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2.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2.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2.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2.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2.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2.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2.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2.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2.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2.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2.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2.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2.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2.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2.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2.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2.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2.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2.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2.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2.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2.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2.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2.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2.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2.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2.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2.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2.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2.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2.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2.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2.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2.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2.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2.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2.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2.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2.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2.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2.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2.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2.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2.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2.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2.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2.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2.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2.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2.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2.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2.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2.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2.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2.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2.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2.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2.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2.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2.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2.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2.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2.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2.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2.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2.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2.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2.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2.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2.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2.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2.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2.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2.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2.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2.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2.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2.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2.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2.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2.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2.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2.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2.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2.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2.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2.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2.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2.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2.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2.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2.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2.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2.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2.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2.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2.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2.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2.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2.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2.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2.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2.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2.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2.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2.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2.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2.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2.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2.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2.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2.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2.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2.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2.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2.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2.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2.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2.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2.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2.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sheetData>
  <mergeCells count="28">
    <mergeCell ref="A8:G8"/>
    <mergeCell ref="B9:C9"/>
    <mergeCell ref="B14:C14"/>
    <mergeCell ref="A15:G15"/>
    <mergeCell ref="A16:G16"/>
    <mergeCell ref="A17:G17"/>
    <mergeCell ref="A18:G18"/>
    <mergeCell ref="B24:C24"/>
    <mergeCell ref="B19:C19"/>
    <mergeCell ref="B29:C29"/>
    <mergeCell ref="A1:G1"/>
    <mergeCell ref="A2:G2"/>
    <mergeCell ref="B4:C4"/>
    <mergeCell ref="A5:G5"/>
    <mergeCell ref="A7:G7"/>
    <mergeCell ref="A6:G6"/>
    <mergeCell ref="A10:G10"/>
    <mergeCell ref="A11:G11"/>
    <mergeCell ref="A12:G12"/>
    <mergeCell ref="A13:G13"/>
    <mergeCell ref="A20:G20"/>
    <mergeCell ref="A21:G21"/>
    <mergeCell ref="A22:G22"/>
    <mergeCell ref="A23:G23"/>
    <mergeCell ref="A25:G25"/>
    <mergeCell ref="A26:G26"/>
    <mergeCell ref="A27:G27"/>
    <mergeCell ref="A28:G28"/>
  </mergeCells>
  <dataValidations>
    <dataValidation type="list" allowBlank="1" sqref="G9 G14 G19 G24 G29">
      <formula1>"Developing,Tested"</formula1>
    </dataValidation>
  </dataValidations>
  <hyperlinks>
    <hyperlink display="Scenario 1: Kiểm tra chức năng điều hướng qua giao diện &quot;Nhà cung cấp&quot; trên thanh Sidebar" location="'FUNC TC_THANH MENU'!A1:H10" ref="A5"/>
    <hyperlink display="Scenario 2: Kiểm tra chức năng điều hướng qua giao diện &quot;Nhập hàng&quot; trên thanh Sidebar" location="'FUNC TC_THANH MENU'!A1:H10" ref="A10"/>
    <hyperlink display="Scenario 3: Kiểm tra chức năng điều hướng qua giao diện &quot;Lô hàng&quot; trên thanh Sidebar" location="'FUNC TC_THANH MENU'!A1:H10" ref="A15"/>
    <hyperlink display="Scenario 4: Kiểm tra chức năng điều hướng qua giao diện &quot;Sản phẩm&quot; trên thanh Sidebar" location="'FUNC TC_THANH MENU'!A1:H10" ref="A20"/>
    <hyperlink display="Scenario 5: Kiểm tra chức năng điều hướng qua giao diện &quot;Cài đặt&quot; trên thanh Sidebar" location="'FUNC TC_THANH MENU'!A1:H10" ref="A25"/>
  </hyperlinks>
  <printOptions/>
  <pageMargins bottom="0.75" footer="0.0" header="0.0" left="0.7" right="0.7" top="0.75"/>
  <pageSetup orientation="landscape"/>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5.5"/>
    <col customWidth="1" min="3" max="3" width="23.5"/>
    <col customWidth="1" min="4" max="4" width="30.5"/>
    <col customWidth="1" min="5" max="5" width="27.13"/>
    <col customWidth="1" min="6" max="6" width="24.0"/>
    <col customWidth="1" min="7" max="8" width="15.13"/>
    <col customWidth="1" min="9" max="9" width="23.13"/>
    <col customWidth="1" min="10" max="12" width="15.13"/>
    <col customWidth="1" min="13" max="30" width="8.0"/>
  </cols>
  <sheetData>
    <row r="1" ht="22.5" customHeight="1">
      <c r="A1" s="44"/>
      <c r="B1" s="45" t="s">
        <v>44</v>
      </c>
      <c r="C1" s="46" t="s">
        <v>45</v>
      </c>
      <c r="D1" s="46" t="s">
        <v>46</v>
      </c>
      <c r="E1" s="46" t="s">
        <v>47</v>
      </c>
      <c r="F1" s="46" t="s">
        <v>48</v>
      </c>
      <c r="G1" s="44"/>
      <c r="H1" s="44"/>
      <c r="I1" s="44"/>
      <c r="J1" s="44"/>
      <c r="K1" s="44"/>
      <c r="L1" s="44"/>
      <c r="M1" s="23"/>
      <c r="N1" s="23"/>
      <c r="O1" s="23"/>
      <c r="P1" s="23"/>
      <c r="Q1" s="23"/>
      <c r="R1" s="23"/>
      <c r="S1" s="23"/>
      <c r="T1" s="23"/>
      <c r="U1" s="23"/>
      <c r="V1" s="23"/>
      <c r="W1" s="23"/>
      <c r="X1" s="23"/>
      <c r="Y1" s="23"/>
      <c r="Z1" s="23"/>
      <c r="AA1" s="23"/>
      <c r="AB1" s="23"/>
      <c r="AC1" s="23"/>
      <c r="AD1" s="23"/>
    </row>
    <row r="2" ht="22.5" customHeight="1">
      <c r="A2" s="44"/>
      <c r="B2" s="47"/>
      <c r="C2" s="48">
        <f>COUNTIF(G1:G220,"Pass")</f>
        <v>5</v>
      </c>
      <c r="D2" s="48">
        <f>COUNTIF(G1:G220,"Fail")</f>
        <v>0</v>
      </c>
      <c r="E2" s="48">
        <f>COUNTIF(G1:G220,"Untested")</f>
        <v>0</v>
      </c>
      <c r="F2" s="48">
        <f>SUM(C2,D2,E2)</f>
        <v>5</v>
      </c>
      <c r="G2" s="44"/>
      <c r="H2" s="44"/>
      <c r="I2" s="44"/>
      <c r="J2" s="44"/>
      <c r="K2" s="44"/>
      <c r="L2" s="44"/>
      <c r="M2" s="23"/>
      <c r="N2" s="23"/>
      <c r="O2" s="23"/>
      <c r="P2" s="23"/>
      <c r="Q2" s="23"/>
      <c r="R2" s="23"/>
      <c r="S2" s="23"/>
      <c r="T2" s="23"/>
      <c r="U2" s="23"/>
      <c r="V2" s="23"/>
      <c r="W2" s="23"/>
      <c r="X2" s="23"/>
      <c r="Y2" s="23"/>
      <c r="Z2" s="23"/>
      <c r="AA2" s="23"/>
      <c r="AB2" s="23"/>
      <c r="AC2" s="23"/>
      <c r="AD2" s="23"/>
    </row>
    <row r="3" ht="22.5" customHeight="1">
      <c r="A3" s="44"/>
      <c r="B3" s="44"/>
      <c r="C3" s="44"/>
      <c r="D3" s="44"/>
      <c r="E3" s="44"/>
      <c r="F3" s="44"/>
      <c r="G3" s="44"/>
      <c r="H3" s="44"/>
      <c r="I3" s="44"/>
      <c r="J3" s="44"/>
      <c r="K3" s="44"/>
      <c r="L3" s="44"/>
      <c r="M3" s="23"/>
      <c r="N3" s="23"/>
      <c r="O3" s="23"/>
      <c r="P3" s="23"/>
      <c r="Q3" s="23"/>
      <c r="R3" s="23"/>
      <c r="S3" s="23"/>
      <c r="T3" s="23"/>
      <c r="U3" s="23"/>
      <c r="V3" s="23"/>
      <c r="W3" s="23"/>
      <c r="X3" s="23"/>
      <c r="Y3" s="23"/>
      <c r="Z3" s="23"/>
      <c r="AA3" s="23"/>
      <c r="AB3" s="23"/>
      <c r="AC3" s="23"/>
      <c r="AD3" s="23"/>
    </row>
    <row r="4" ht="24.75" customHeight="1">
      <c r="A4" s="49" t="s">
        <v>49</v>
      </c>
      <c r="B4" s="49" t="s">
        <v>50</v>
      </c>
      <c r="C4" s="49" t="s">
        <v>51</v>
      </c>
      <c r="D4" s="49" t="s">
        <v>52</v>
      </c>
      <c r="E4" s="49" t="s">
        <v>53</v>
      </c>
      <c r="F4" s="49" t="s">
        <v>54</v>
      </c>
      <c r="G4" s="49" t="s">
        <v>55</v>
      </c>
      <c r="H4" s="50" t="s">
        <v>56</v>
      </c>
      <c r="I4" s="50" t="s">
        <v>57</v>
      </c>
      <c r="J4" s="50" t="s">
        <v>55</v>
      </c>
      <c r="K4" s="50" t="s">
        <v>58</v>
      </c>
      <c r="L4" s="51" t="s">
        <v>59</v>
      </c>
      <c r="M4" s="23"/>
      <c r="N4" s="23"/>
      <c r="O4" s="23"/>
      <c r="P4" s="23"/>
      <c r="Q4" s="23"/>
      <c r="R4" s="23"/>
      <c r="S4" s="23"/>
      <c r="T4" s="23"/>
      <c r="U4" s="23"/>
      <c r="V4" s="23"/>
      <c r="W4" s="23"/>
      <c r="X4" s="23"/>
      <c r="Y4" s="23"/>
      <c r="Z4" s="23"/>
      <c r="AA4" s="23"/>
      <c r="AB4" s="23"/>
      <c r="AC4" s="23"/>
      <c r="AD4" s="23"/>
    </row>
    <row r="5" ht="12.75" customHeight="1">
      <c r="A5" s="52" t="s">
        <v>60</v>
      </c>
      <c r="B5" s="53" t="s">
        <v>61</v>
      </c>
      <c r="C5" s="54"/>
      <c r="D5" s="54"/>
      <c r="E5" s="54"/>
      <c r="F5" s="54"/>
      <c r="G5" s="54"/>
      <c r="H5" s="54"/>
      <c r="I5" s="54"/>
      <c r="J5" s="54"/>
      <c r="K5" s="54"/>
      <c r="L5" s="54"/>
      <c r="M5" s="23"/>
      <c r="N5" s="23"/>
      <c r="O5" s="23"/>
      <c r="P5" s="23"/>
      <c r="Q5" s="23"/>
      <c r="R5" s="23"/>
      <c r="S5" s="23"/>
      <c r="T5" s="23"/>
      <c r="U5" s="23"/>
      <c r="V5" s="23"/>
      <c r="W5" s="23"/>
      <c r="X5" s="23"/>
      <c r="Y5" s="23"/>
      <c r="Z5" s="23"/>
      <c r="AA5" s="23"/>
      <c r="AB5" s="23"/>
      <c r="AC5" s="23"/>
      <c r="AD5" s="23"/>
    </row>
    <row r="6" ht="57.75" customHeight="1">
      <c r="A6" s="55" t="s">
        <v>62</v>
      </c>
      <c r="B6" s="56" t="s">
        <v>63</v>
      </c>
      <c r="C6" s="57" t="s">
        <v>64</v>
      </c>
      <c r="D6" s="40" t="s">
        <v>65</v>
      </c>
      <c r="E6" s="40" t="s">
        <v>66</v>
      </c>
      <c r="F6" s="40" t="s">
        <v>67</v>
      </c>
      <c r="G6" s="57" t="s">
        <v>45</v>
      </c>
      <c r="H6" s="58">
        <v>46127.0</v>
      </c>
      <c r="I6" s="40" t="s">
        <v>67</v>
      </c>
      <c r="J6" s="39" t="s">
        <v>45</v>
      </c>
      <c r="K6" s="58">
        <v>46130.0</v>
      </c>
      <c r="L6" s="59"/>
      <c r="M6" s="23"/>
      <c r="N6" s="23"/>
      <c r="O6" s="23"/>
      <c r="P6" s="23"/>
      <c r="Q6" s="23"/>
      <c r="R6" s="23"/>
      <c r="S6" s="23"/>
      <c r="T6" s="23"/>
      <c r="U6" s="23"/>
      <c r="V6" s="23"/>
      <c r="W6" s="23"/>
      <c r="X6" s="23"/>
      <c r="Y6" s="23"/>
      <c r="Z6" s="23"/>
      <c r="AA6" s="23"/>
      <c r="AB6" s="23"/>
      <c r="AC6" s="23"/>
      <c r="AD6" s="23"/>
    </row>
    <row r="7" ht="54.0" customHeight="1">
      <c r="A7" s="60" t="s">
        <v>68</v>
      </c>
      <c r="B7" s="61" t="s">
        <v>69</v>
      </c>
      <c r="C7" s="57" t="s">
        <v>64</v>
      </c>
      <c r="D7" s="62" t="s">
        <v>70</v>
      </c>
      <c r="E7" s="62" t="s">
        <v>71</v>
      </c>
      <c r="F7" s="62" t="s">
        <v>72</v>
      </c>
      <c r="G7" s="57" t="s">
        <v>45</v>
      </c>
      <c r="H7" s="58">
        <v>46127.0</v>
      </c>
      <c r="I7" s="62" t="s">
        <v>72</v>
      </c>
      <c r="J7" s="39" t="s">
        <v>45</v>
      </c>
      <c r="K7" s="58">
        <v>46130.0</v>
      </c>
      <c r="L7" s="59"/>
      <c r="M7" s="23"/>
      <c r="N7" s="23"/>
      <c r="O7" s="23"/>
      <c r="P7" s="23"/>
      <c r="Q7" s="23"/>
      <c r="R7" s="23"/>
      <c r="S7" s="23"/>
      <c r="T7" s="23"/>
      <c r="U7" s="23"/>
      <c r="V7" s="23"/>
      <c r="W7" s="23"/>
      <c r="X7" s="23"/>
      <c r="Y7" s="23"/>
      <c r="Z7" s="23"/>
      <c r="AA7" s="23"/>
      <c r="AB7" s="23"/>
      <c r="AC7" s="23"/>
      <c r="AD7" s="23"/>
    </row>
    <row r="8" ht="52.5" customHeight="1">
      <c r="A8" s="60" t="s">
        <v>73</v>
      </c>
      <c r="B8" s="61" t="s">
        <v>74</v>
      </c>
      <c r="C8" s="57" t="s">
        <v>64</v>
      </c>
      <c r="D8" s="62" t="s">
        <v>75</v>
      </c>
      <c r="E8" s="62" t="s">
        <v>76</v>
      </c>
      <c r="F8" s="62" t="s">
        <v>77</v>
      </c>
      <c r="G8" s="57" t="s">
        <v>45</v>
      </c>
      <c r="H8" s="58">
        <v>46127.0</v>
      </c>
      <c r="I8" s="62" t="s">
        <v>77</v>
      </c>
      <c r="J8" s="39" t="s">
        <v>45</v>
      </c>
      <c r="K8" s="58">
        <v>46130.0</v>
      </c>
      <c r="L8" s="59"/>
      <c r="M8" s="23"/>
      <c r="N8" s="23"/>
      <c r="O8" s="23"/>
      <c r="P8" s="23"/>
      <c r="Q8" s="23"/>
      <c r="R8" s="23"/>
      <c r="S8" s="23"/>
      <c r="T8" s="23"/>
      <c r="U8" s="23"/>
      <c r="V8" s="23"/>
      <c r="W8" s="23"/>
      <c r="X8" s="23"/>
      <c r="Y8" s="23"/>
      <c r="Z8" s="23"/>
      <c r="AA8" s="23"/>
      <c r="AB8" s="23"/>
      <c r="AC8" s="23"/>
      <c r="AD8" s="23"/>
    </row>
    <row r="9" ht="51.0" customHeight="1">
      <c r="A9" s="60" t="s">
        <v>78</v>
      </c>
      <c r="B9" s="61" t="s">
        <v>79</v>
      </c>
      <c r="C9" s="57" t="s">
        <v>64</v>
      </c>
      <c r="D9" s="62" t="s">
        <v>80</v>
      </c>
      <c r="E9" s="62" t="s">
        <v>81</v>
      </c>
      <c r="F9" s="62" t="s">
        <v>82</v>
      </c>
      <c r="G9" s="57" t="s">
        <v>45</v>
      </c>
      <c r="H9" s="58">
        <v>46127.0</v>
      </c>
      <c r="I9" s="62" t="s">
        <v>82</v>
      </c>
      <c r="J9" s="39" t="s">
        <v>45</v>
      </c>
      <c r="K9" s="58">
        <v>46130.0</v>
      </c>
      <c r="L9" s="59"/>
      <c r="M9" s="23"/>
      <c r="N9" s="23"/>
      <c r="O9" s="23"/>
      <c r="P9" s="23"/>
      <c r="Q9" s="23"/>
      <c r="R9" s="23"/>
      <c r="S9" s="23"/>
      <c r="T9" s="23"/>
      <c r="U9" s="23"/>
      <c r="V9" s="23"/>
      <c r="W9" s="23"/>
      <c r="X9" s="23"/>
      <c r="Y9" s="23"/>
      <c r="Z9" s="23"/>
      <c r="AA9" s="23"/>
      <c r="AB9" s="23"/>
      <c r="AC9" s="23"/>
      <c r="AD9" s="23"/>
    </row>
    <row r="10" ht="51.0" customHeight="1">
      <c r="A10" s="55" t="s">
        <v>83</v>
      </c>
      <c r="B10" s="56" t="s">
        <v>84</v>
      </c>
      <c r="C10" s="57" t="s">
        <v>64</v>
      </c>
      <c r="D10" s="40" t="s">
        <v>85</v>
      </c>
      <c r="E10" s="62" t="s">
        <v>86</v>
      </c>
      <c r="F10" s="62" t="s">
        <v>87</v>
      </c>
      <c r="G10" s="57" t="s">
        <v>45</v>
      </c>
      <c r="H10" s="58">
        <v>46127.0</v>
      </c>
      <c r="I10" s="62" t="s">
        <v>87</v>
      </c>
      <c r="J10" s="39" t="s">
        <v>45</v>
      </c>
      <c r="K10" s="58">
        <v>46130.0</v>
      </c>
      <c r="L10" s="63"/>
      <c r="M10" s="23"/>
      <c r="N10" s="23"/>
      <c r="O10" s="23"/>
      <c r="P10" s="23"/>
      <c r="Q10" s="23"/>
      <c r="R10" s="23"/>
      <c r="S10" s="23"/>
      <c r="T10" s="23"/>
      <c r="U10" s="23"/>
      <c r="V10" s="23"/>
      <c r="W10" s="23"/>
      <c r="X10" s="23"/>
      <c r="Y10" s="23"/>
      <c r="Z10" s="23"/>
      <c r="AA10" s="23"/>
      <c r="AB10" s="23"/>
      <c r="AC10" s="23"/>
      <c r="AD10" s="23"/>
    </row>
    <row r="11" ht="22.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row>
    <row r="12" ht="22.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row>
    <row r="13" ht="22.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row>
    <row r="14" ht="22.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row>
    <row r="15" ht="22.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row>
    <row r="16" ht="22.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row>
    <row r="17" ht="22.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row>
    <row r="18" ht="22.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row>
    <row r="19" ht="22.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row>
    <row r="20" ht="22.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row>
    <row r="21" ht="22.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row>
    <row r="22" ht="22.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row>
    <row r="23" ht="22.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row>
    <row r="24" ht="22.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row>
    <row r="25" ht="22.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row>
    <row r="26" ht="22.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row>
    <row r="27" ht="22.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row>
    <row r="28" ht="22.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row>
    <row r="29" ht="22.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row>
    <row r="30" ht="22.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row>
    <row r="31" ht="22.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row>
    <row r="32" ht="22.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row>
    <row r="33" ht="22.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row>
    <row r="34" ht="2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row>
    <row r="35" ht="22.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row>
    <row r="36" ht="22.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row>
    <row r="37" ht="2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row>
    <row r="38" ht="2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row>
    <row r="39" ht="2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row>
    <row r="40" ht="2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row>
    <row r="41" ht="2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row>
    <row r="42" ht="2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row>
    <row r="43" ht="2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row>
    <row r="44" ht="2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row>
    <row r="45" ht="2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row>
    <row r="46" ht="2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row>
    <row r="47" ht="2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row>
    <row r="48" ht="2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row>
    <row r="49" ht="2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row>
    <row r="50" ht="2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row>
    <row r="51" ht="2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row>
    <row r="52" ht="2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row>
    <row r="53" ht="2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row>
    <row r="54" ht="2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row>
    <row r="55" ht="2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row>
    <row r="56" ht="2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row>
    <row r="57" ht="2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row>
    <row r="58" ht="2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row>
    <row r="59" ht="2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row>
    <row r="60" ht="2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row>
    <row r="61" ht="2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row>
    <row r="62" ht="2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row>
    <row r="63" ht="2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row>
    <row r="64" ht="2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row>
    <row r="65" ht="2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row>
    <row r="66" ht="2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row>
    <row r="67" ht="2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row>
    <row r="68" ht="2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row>
    <row r="69" ht="2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row>
    <row r="70" ht="2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row>
    <row r="71" ht="2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row>
    <row r="72" ht="2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row>
    <row r="73" ht="2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row>
    <row r="74" ht="2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row>
    <row r="75" ht="2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row>
    <row r="76" ht="2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row>
    <row r="77" ht="2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row>
    <row r="78" ht="2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row>
    <row r="79" ht="2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row>
    <row r="80" ht="2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row>
    <row r="81" ht="2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row>
    <row r="82" ht="2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row>
    <row r="83" ht="2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row>
    <row r="84" ht="2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row>
    <row r="85" ht="2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row>
    <row r="86" ht="2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row>
    <row r="87" ht="2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row>
    <row r="88" ht="2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row>
    <row r="89" ht="2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ht="2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row>
    <row r="91" ht="2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row>
    <row r="92" ht="2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row>
    <row r="93" ht="2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row>
    <row r="94" ht="2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row>
    <row r="95" ht="2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ht="2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row>
    <row r="97" ht="2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row>
    <row r="98" ht="2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row>
    <row r="99" ht="2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row>
    <row r="100" ht="2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row>
    <row r="101" ht="2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row>
    <row r="102" ht="2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row>
    <row r="103" ht="2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row>
    <row r="104" ht="2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ht="2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ht="2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ht="2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ht="2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row>
    <row r="109" ht="2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row>
    <row r="110" ht="2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row>
    <row r="111" ht="2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ht="2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row>
    <row r="113" ht="2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row>
    <row r="114" ht="2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row>
    <row r="115" ht="2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row>
    <row r="116" ht="2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row>
    <row r="117" ht="2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row>
    <row r="118" ht="2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ht="2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row>
    <row r="120" ht="2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ht="2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ht="2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ht="2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ht="2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ht="2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ht="2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ht="2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ht="2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row>
    <row r="129" ht="2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row>
    <row r="130" ht="2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ht="2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ht="2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ht="2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ht="2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row>
    <row r="135" ht="2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row>
    <row r="136" ht="2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ht="2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row>
    <row r="138" ht="2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row>
    <row r="139" ht="2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row>
    <row r="140" ht="2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row>
    <row r="141" ht="2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row>
    <row r="142" ht="2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ht="2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row>
    <row r="144" ht="2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ht="2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ht="2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ht="2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ht="2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ht="2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ht="2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ht="2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ht="2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ht="2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ht="2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row>
    <row r="155" ht="2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ht="2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ht="2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ht="2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ht="2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ht="2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ht="2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ht="2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ht="2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ht="2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ht="2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ht="2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ht="2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ht="2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ht="2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ht="2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ht="2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ht="2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ht="2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ht="2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ht="2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ht="2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ht="2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ht="2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ht="2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ht="2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row>
    <row r="181" ht="2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ht="2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row>
    <row r="183" ht="2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ht="2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ht="2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ht="2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ht="2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ht="2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ht="2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ht="2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ht="2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ht="2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ht="2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ht="2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ht="2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ht="2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ht="2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ht="2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ht="2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ht="2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ht="2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ht="2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ht="2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ht="2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ht="2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ht="2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ht="2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ht="2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ht="2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ht="2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ht="2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ht="2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ht="2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ht="2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ht="2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ht="2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ht="2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ht="2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ht="2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ht="2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ht="2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ht="2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ht="2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ht="2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ht="2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ht="2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ht="2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ht="2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ht="2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ht="2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ht="2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ht="2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ht="2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ht="2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ht="2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ht="2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ht="2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ht="2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ht="2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ht="2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ht="2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ht="2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ht="2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ht="2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ht="2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ht="2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ht="2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ht="2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ht="2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ht="2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ht="2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ht="2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ht="2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ht="2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ht="2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ht="2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ht="2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ht="2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ht="2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ht="2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ht="2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ht="2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ht="2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ht="2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ht="2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ht="2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ht="2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ht="2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ht="2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ht="2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ht="2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ht="2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ht="2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ht="2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ht="2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ht="2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ht="2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ht="2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ht="2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ht="2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ht="2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ht="2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ht="2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ht="2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ht="2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ht="2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ht="2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ht="2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ht="2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ht="2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ht="2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ht="2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ht="2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ht="2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ht="2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ht="2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ht="2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ht="2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ht="2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ht="2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ht="2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ht="2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ht="2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ht="2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ht="2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ht="2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ht="2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ht="2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ht="2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ht="2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ht="2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ht="2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ht="2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ht="2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ht="2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ht="2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ht="2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ht="2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ht="2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ht="2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ht="2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ht="2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ht="2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ht="2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ht="2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ht="2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ht="2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ht="2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ht="2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ht="2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ht="2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ht="2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ht="2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ht="2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ht="2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ht="2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ht="2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ht="2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ht="2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ht="2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ht="2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ht="2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ht="2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ht="2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ht="2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ht="2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ht="2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ht="2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ht="2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ht="2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ht="2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ht="2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ht="2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ht="2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ht="2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ht="2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ht="2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ht="2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ht="2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ht="2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ht="2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ht="2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ht="2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ht="2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ht="2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ht="2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ht="2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ht="2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ht="2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ht="2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ht="2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ht="2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ht="2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ht="2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ht="2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ht="2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ht="2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ht="2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ht="2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ht="2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ht="2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ht="2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ht="2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ht="2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ht="2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ht="2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ht="2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ht="2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ht="2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ht="2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ht="2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ht="2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ht="2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ht="2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ht="2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ht="2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ht="2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ht="2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ht="2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ht="2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ht="2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ht="2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ht="2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ht="2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ht="2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ht="2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ht="2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ht="2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ht="2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ht="2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ht="2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ht="2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ht="2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ht="2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ht="2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ht="2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ht="2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ht="2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ht="2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ht="2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ht="2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ht="2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ht="2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ht="2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ht="2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ht="2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ht="2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ht="2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ht="2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ht="2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ht="2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ht="2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ht="2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ht="2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ht="2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ht="2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ht="2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ht="2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ht="2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ht="2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ht="2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ht="2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ht="2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ht="2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ht="2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ht="2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ht="2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ht="2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ht="2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ht="2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ht="2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ht="2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ht="2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ht="2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ht="2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ht="2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ht="2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ht="2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ht="2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ht="2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ht="2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ht="2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ht="2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ht="2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ht="2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ht="2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ht="2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ht="2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ht="2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ht="2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ht="2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ht="2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ht="2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ht="2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ht="2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ht="2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ht="2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ht="2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ht="2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ht="2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ht="2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ht="2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ht="2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ht="2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ht="2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ht="2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ht="2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ht="2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ht="2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ht="2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ht="2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ht="2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ht="2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ht="2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ht="2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ht="2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ht="2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ht="2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ht="2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ht="2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ht="2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ht="2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ht="2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ht="2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ht="2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ht="2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ht="2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ht="2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ht="2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ht="2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ht="2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ht="2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ht="2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ht="2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ht="2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ht="2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ht="2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ht="2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ht="2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ht="2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ht="2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ht="2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ht="2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ht="2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ht="2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ht="2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ht="2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ht="2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ht="2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ht="2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ht="2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ht="2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ht="2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ht="2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ht="2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ht="2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ht="2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ht="2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ht="2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ht="2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ht="2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ht="2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ht="2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ht="2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ht="2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ht="2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ht="2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ht="2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ht="2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ht="2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ht="2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ht="2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ht="2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ht="2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ht="2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ht="2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ht="2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ht="2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ht="2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ht="2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ht="2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ht="2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ht="2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ht="2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ht="2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ht="2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ht="2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ht="2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ht="2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ht="2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ht="2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ht="2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ht="2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ht="2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ht="2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ht="2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ht="2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ht="2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ht="2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ht="2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ht="2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ht="2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ht="2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ht="2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ht="2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ht="2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ht="2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ht="2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ht="2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ht="2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ht="2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ht="2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ht="2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ht="2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ht="2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ht="2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ht="2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ht="2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ht="2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ht="2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ht="2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ht="2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ht="2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ht="2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ht="2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ht="2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ht="2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ht="2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ht="2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ht="2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ht="2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ht="2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ht="2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ht="2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ht="2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ht="2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ht="2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ht="2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ht="2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ht="2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ht="2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ht="2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ht="2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ht="2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ht="2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ht="2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ht="2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ht="2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ht="2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ht="2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ht="2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ht="2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ht="2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ht="2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ht="2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ht="2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ht="2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ht="2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ht="2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ht="2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ht="2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ht="2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ht="2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ht="2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ht="2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ht="2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ht="2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ht="2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ht="2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ht="2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ht="2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ht="2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ht="2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ht="2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ht="2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ht="2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ht="2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ht="2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ht="2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ht="2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ht="2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ht="2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ht="2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ht="2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ht="2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ht="2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ht="2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ht="2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ht="2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ht="2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ht="2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ht="2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ht="2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ht="2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ht="2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ht="2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ht="2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ht="2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ht="2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ht="2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ht="2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ht="2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ht="2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ht="2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ht="2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ht="2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ht="2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ht="2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ht="2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ht="2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ht="2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ht="2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ht="2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ht="2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ht="2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ht="2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ht="2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ht="2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ht="2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ht="2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ht="2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ht="2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ht="2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ht="2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ht="2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ht="2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ht="2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ht="2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ht="2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ht="2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row r="711" ht="2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ht="2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row>
    <row r="713" ht="2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ht="2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row>
    <row r="715" ht="2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ht="2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row>
    <row r="717" ht="2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ht="2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row>
    <row r="719" ht="2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row>
    <row r="720" ht="2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row>
    <row r="721" ht="2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row>
    <row r="722" ht="2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row>
    <row r="723" ht="2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row>
    <row r="724" ht="2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row>
    <row r="725" ht="2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row>
    <row r="726" ht="2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ht="2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row>
    <row r="728" ht="2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ht="2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row>
    <row r="730" ht="2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ht="2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ht="2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ht="2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row>
    <row r="734" ht="2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row>
    <row r="735" ht="2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row>
    <row r="736" ht="2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row>
    <row r="737" ht="2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row>
    <row r="738" ht="2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row>
    <row r="739" ht="2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row>
    <row r="740" ht="2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row>
    <row r="741" ht="2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ht="2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row>
    <row r="743" ht="2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ht="2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row>
    <row r="745" ht="2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ht="2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row>
    <row r="747" ht="2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ht="2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row>
    <row r="749" ht="2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row>
    <row r="750" ht="2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row>
    <row r="751" ht="2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row>
    <row r="752" ht="2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row>
    <row r="753" ht="2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row>
    <row r="754" ht="2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row>
    <row r="755" ht="2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row>
    <row r="756" ht="2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ht="2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row>
    <row r="758" ht="2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ht="2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row>
    <row r="760" ht="2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ht="2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row>
    <row r="762" ht="2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row>
    <row r="763" ht="2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row>
    <row r="764" ht="2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row>
    <row r="765" ht="2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row>
    <row r="766" ht="2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row>
    <row r="767" ht="2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row>
    <row r="768" ht="2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row>
    <row r="769" ht="2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row>
    <row r="770" ht="2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row>
    <row r="771" ht="2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row>
    <row r="772" ht="2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row>
    <row r="773" ht="2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row>
    <row r="774" ht="2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row>
    <row r="775" ht="2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row>
    <row r="776" ht="2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row>
    <row r="777" ht="2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row>
    <row r="778" ht="2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row>
    <row r="779" ht="2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ht="2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row>
    <row r="781" ht="2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ht="2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row>
    <row r="783" ht="2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ht="2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row>
    <row r="785" ht="2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row>
    <row r="786" ht="2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row>
    <row r="787" ht="2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row>
    <row r="788" ht="2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row>
    <row r="789" ht="2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row>
    <row r="790" ht="2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row>
    <row r="791" ht="2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row>
    <row r="792" ht="2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ht="2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ht="2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ht="2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ht="2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ht="2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row>
    <row r="798" ht="2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row>
    <row r="799" ht="2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row>
    <row r="800" ht="2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row>
    <row r="801" ht="2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row>
    <row r="802" ht="2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row>
    <row r="803" ht="2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row>
    <row r="804" ht="2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row>
    <row r="805" ht="2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row>
    <row r="806" ht="2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ht="2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row>
    <row r="808" ht="2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row>
    <row r="809" ht="2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row>
    <row r="810" ht="2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row>
    <row r="811" ht="2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row>
    <row r="812" ht="2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row>
    <row r="813" ht="2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row>
    <row r="814" ht="2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row>
    <row r="815" ht="2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row>
    <row r="816" ht="2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row>
    <row r="817" ht="2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row>
    <row r="818" ht="2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row>
    <row r="819" ht="2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row>
    <row r="820" ht="2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row>
    <row r="821" ht="2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row>
    <row r="822" ht="2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ht="2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row>
    <row r="824" ht="2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row>
    <row r="825" ht="2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row>
    <row r="826" ht="2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row>
    <row r="827" ht="2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row>
    <row r="828" ht="2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row>
    <row r="829" ht="2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row>
    <row r="830" ht="2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row>
    <row r="831" ht="2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row>
    <row r="832" ht="2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row>
    <row r="833" ht="2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row>
    <row r="834" ht="2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ht="2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row>
    <row r="836" ht="2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ht="2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row>
    <row r="838" ht="2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ht="2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row>
    <row r="840" ht="2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ht="2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row>
    <row r="842" ht="2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row>
    <row r="843" ht="2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row>
    <row r="844" ht="2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row>
    <row r="845" ht="2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row>
    <row r="846" ht="2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row>
    <row r="847" ht="2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ht="2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row>
    <row r="849" ht="2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row>
    <row r="850" ht="2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row>
    <row r="851" ht="2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row>
    <row r="852" ht="2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row>
    <row r="853" ht="2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row>
    <row r="854" ht="2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row>
    <row r="855" ht="2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row>
    <row r="856" ht="2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row>
    <row r="857" ht="2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row>
    <row r="858" ht="2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row>
    <row r="859" ht="2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ht="2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row>
    <row r="861" ht="2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row>
    <row r="862" ht="2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ht="2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row>
    <row r="864" ht="2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ht="2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row>
    <row r="866" ht="2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row>
    <row r="867" ht="2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row>
    <row r="868" ht="2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row>
    <row r="869" ht="2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ht="2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row>
    <row r="871" ht="2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row>
    <row r="872" ht="2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row>
    <row r="873" ht="2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row>
    <row r="874" ht="2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row>
    <row r="875" ht="2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row>
    <row r="876" ht="2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row>
    <row r="877" ht="2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row>
    <row r="878" ht="2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row r="879" ht="2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row>
    <row r="880" ht="2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row>
    <row r="881" ht="2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row>
    <row r="882" ht="2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row>
    <row r="883" ht="2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row>
    <row r="884" ht="2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row>
    <row r="885" ht="2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row>
    <row r="886" ht="2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row>
    <row r="887" ht="2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row>
    <row r="888" ht="2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row>
    <row r="889" ht="2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row>
    <row r="890" ht="2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row>
    <row r="891" ht="2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row>
    <row r="892" ht="2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row>
    <row r="893" ht="2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row>
    <row r="894" ht="2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row>
    <row r="895" ht="2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row>
    <row r="896" ht="2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row>
    <row r="897" ht="2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row>
    <row r="898" ht="2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row>
    <row r="899" ht="2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row>
    <row r="900" ht="2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row>
    <row r="901" ht="2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row>
    <row r="902" ht="2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row>
    <row r="903" ht="2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row>
    <row r="904" ht="2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row>
    <row r="905" ht="2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row>
    <row r="906" ht="2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row>
    <row r="907" ht="2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row>
    <row r="908" ht="2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row>
    <row r="909" ht="2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row>
    <row r="910" ht="2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row>
    <row r="911" ht="2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row>
    <row r="912" ht="2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row>
    <row r="913" ht="2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row>
    <row r="914" ht="2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row>
    <row r="915" ht="2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row>
    <row r="916" ht="2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row>
    <row r="917" ht="2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row>
    <row r="918" ht="2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row>
    <row r="919" ht="2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row>
    <row r="920" ht="2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row>
    <row r="921" ht="2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row>
    <row r="922" ht="2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row>
    <row r="923" ht="2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row>
    <row r="924" ht="2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row>
    <row r="925" ht="2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row>
    <row r="926" ht="2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row>
    <row r="927" ht="2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row>
    <row r="928" ht="2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row>
    <row r="929" ht="2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row>
    <row r="930" ht="2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row>
    <row r="931" ht="2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row>
    <row r="932" ht="2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row>
    <row r="933" ht="2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row>
    <row r="934" ht="2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row>
    <row r="935" ht="2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row>
    <row r="936" ht="2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row>
    <row r="937" ht="2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row>
    <row r="938" ht="2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row>
    <row r="939" ht="2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row>
    <row r="940" ht="2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row>
    <row r="941" ht="2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row>
    <row r="942" ht="2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row>
    <row r="943" ht="2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row>
    <row r="944" ht="2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row>
    <row r="945" ht="2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row>
    <row r="946" ht="2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row>
    <row r="947" ht="2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row>
    <row r="948" ht="2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row>
    <row r="949" ht="2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row>
    <row r="950" ht="2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row>
    <row r="951" ht="2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row>
    <row r="952" ht="2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row>
    <row r="953" ht="2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row>
    <row r="954" ht="2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row>
    <row r="955" ht="2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row>
    <row r="956" ht="2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row>
    <row r="957" ht="2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row>
    <row r="958" ht="2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row>
    <row r="959" ht="2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row>
    <row r="960" ht="2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row>
    <row r="961" ht="2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row>
    <row r="962" ht="2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row>
    <row r="963" ht="2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row>
    <row r="964" ht="2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row>
    <row r="965" ht="2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row>
    <row r="966" ht="2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row>
    <row r="967" ht="2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row>
    <row r="968" ht="2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row>
    <row r="969" ht="2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row>
    <row r="970" ht="2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row>
    <row r="971" ht="2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row>
    <row r="972" ht="2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row>
    <row r="973" ht="2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row>
    <row r="974" ht="2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row>
    <row r="975" ht="2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row>
    <row r="976" ht="2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row>
    <row r="977" ht="2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row>
    <row r="978" ht="2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row>
    <row r="979" ht="2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row>
    <row r="980" ht="2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row>
    <row r="981" ht="2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row>
    <row r="982" ht="2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row>
  </sheetData>
  <mergeCells count="2">
    <mergeCell ref="B1:B2"/>
    <mergeCell ref="B5:L5"/>
  </mergeCells>
  <dataValidations>
    <dataValidation type="list" allowBlank="1" showInputMessage="1" showErrorMessage="1" prompt=" - " sqref="L1:L2">
      <formula1>"Fatal,Major,Minor,Cosmetic"</formula1>
    </dataValidation>
    <dataValidation type="list" allowBlank="1" sqref="G6:G10 J6:J10">
      <formula1>"Pass,Fail,Untested"</formula1>
    </dataValidation>
    <dataValidation type="list" allowBlank="1" showInputMessage="1" showErrorMessage="1" prompt=" - " sqref="L6:L10">
      <formula1>"Critical,Major,Minor,Cosmetic"</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0.5"/>
    <col customWidth="1" min="5" max="5" width="17.13"/>
    <col customWidth="1" min="6" max="6" width="16.5"/>
    <col customWidth="1" min="7" max="7" width="20.75"/>
    <col customWidth="1" min="8" max="8" width="11.5"/>
    <col customWidth="1" min="9" max="26" width="8.0"/>
  </cols>
  <sheetData>
    <row r="1" ht="15.0" customHeight="1">
      <c r="A1" s="20" t="s">
        <v>18</v>
      </c>
      <c r="B1" s="21"/>
      <c r="C1" s="21"/>
      <c r="D1" s="21"/>
      <c r="E1" s="21"/>
      <c r="F1" s="21"/>
      <c r="G1" s="22"/>
      <c r="H1" s="23"/>
      <c r="I1" s="23"/>
      <c r="J1" s="23"/>
      <c r="K1" s="23"/>
      <c r="L1" s="23"/>
      <c r="M1" s="23"/>
      <c r="N1" s="23"/>
      <c r="O1" s="23"/>
      <c r="P1" s="23"/>
      <c r="Q1" s="23"/>
      <c r="R1" s="23"/>
      <c r="S1" s="23"/>
      <c r="T1" s="23"/>
      <c r="U1" s="23"/>
      <c r="V1" s="23"/>
      <c r="W1" s="23"/>
      <c r="X1" s="23"/>
      <c r="Y1" s="23"/>
      <c r="Z1" s="23"/>
    </row>
    <row r="2" ht="36.75" customHeight="1">
      <c r="A2" s="24" t="s">
        <v>19</v>
      </c>
      <c r="B2" s="25"/>
      <c r="C2" s="25"/>
      <c r="D2" s="25"/>
      <c r="E2" s="25"/>
      <c r="F2" s="25"/>
      <c r="G2" s="26"/>
      <c r="H2" s="23"/>
      <c r="I2" s="23"/>
      <c r="J2" s="23"/>
      <c r="K2" s="23"/>
      <c r="L2" s="23"/>
      <c r="M2" s="23"/>
      <c r="N2" s="23"/>
      <c r="O2" s="23"/>
      <c r="P2" s="23"/>
      <c r="Q2" s="23"/>
      <c r="R2" s="23"/>
      <c r="S2" s="23"/>
      <c r="T2" s="23"/>
      <c r="U2" s="23"/>
      <c r="V2" s="23"/>
      <c r="W2" s="23"/>
      <c r="X2" s="23"/>
      <c r="Y2" s="23"/>
      <c r="Z2" s="23"/>
    </row>
    <row r="3" ht="18.0" customHeight="1">
      <c r="A3" s="64" t="s">
        <v>88</v>
      </c>
      <c r="H3" s="65"/>
      <c r="I3" s="65"/>
      <c r="J3" s="65"/>
      <c r="K3" s="65"/>
      <c r="L3" s="65"/>
      <c r="M3" s="65"/>
      <c r="N3" s="65"/>
      <c r="O3" s="65"/>
      <c r="P3" s="65"/>
      <c r="Q3" s="65"/>
      <c r="R3" s="65"/>
      <c r="S3" s="65"/>
      <c r="T3" s="65"/>
      <c r="U3" s="65"/>
      <c r="V3" s="65"/>
      <c r="W3" s="65"/>
      <c r="X3" s="65"/>
      <c r="Y3" s="65"/>
      <c r="Z3" s="65"/>
    </row>
    <row r="4" ht="12.75" customHeight="1">
      <c r="A4" s="34" t="s">
        <v>27</v>
      </c>
      <c r="B4" s="35"/>
      <c r="C4" s="35"/>
      <c r="D4" s="35"/>
      <c r="E4" s="35"/>
      <c r="F4" s="35"/>
      <c r="G4" s="35"/>
      <c r="H4" s="23"/>
      <c r="I4" s="23"/>
      <c r="J4" s="23"/>
      <c r="K4" s="23"/>
      <c r="L4" s="23"/>
      <c r="M4" s="23"/>
      <c r="N4" s="23"/>
      <c r="O4" s="23"/>
      <c r="P4" s="23"/>
      <c r="Q4" s="23"/>
      <c r="R4" s="23"/>
      <c r="S4" s="23"/>
      <c r="T4" s="23"/>
      <c r="U4" s="23"/>
      <c r="V4" s="23"/>
      <c r="W4" s="23"/>
      <c r="X4" s="23"/>
      <c r="Y4" s="23"/>
      <c r="Z4" s="23"/>
    </row>
    <row r="5" ht="12.75" customHeight="1">
      <c r="A5" s="34" t="s">
        <v>28</v>
      </c>
      <c r="B5" s="35"/>
      <c r="C5" s="35"/>
      <c r="D5" s="35"/>
      <c r="E5" s="35"/>
      <c r="F5" s="35"/>
      <c r="G5" s="35"/>
      <c r="H5" s="23"/>
      <c r="I5" s="23"/>
      <c r="J5" s="23"/>
      <c r="K5" s="23"/>
      <c r="L5" s="23"/>
      <c r="M5" s="23"/>
      <c r="N5" s="23"/>
      <c r="O5" s="23"/>
      <c r="P5" s="23"/>
      <c r="Q5" s="23"/>
      <c r="R5" s="23"/>
      <c r="S5" s="23"/>
      <c r="T5" s="23"/>
      <c r="U5" s="23"/>
      <c r="V5" s="23"/>
      <c r="W5" s="23"/>
      <c r="X5" s="23"/>
      <c r="Y5" s="23"/>
      <c r="Z5" s="23"/>
    </row>
    <row r="6" ht="13.5" customHeight="1">
      <c r="A6" s="36"/>
      <c r="B6" s="37"/>
      <c r="C6" s="37"/>
      <c r="D6" s="37"/>
      <c r="E6" s="37"/>
      <c r="F6" s="37"/>
      <c r="G6" s="37"/>
      <c r="H6" s="23"/>
      <c r="I6" s="23"/>
      <c r="J6" s="23"/>
      <c r="K6" s="23"/>
      <c r="L6" s="23"/>
      <c r="M6" s="23"/>
      <c r="N6" s="23"/>
      <c r="O6" s="23"/>
      <c r="P6" s="23"/>
      <c r="Q6" s="23"/>
      <c r="R6" s="23"/>
      <c r="S6" s="23"/>
      <c r="T6" s="23"/>
      <c r="U6" s="23"/>
      <c r="V6" s="23"/>
      <c r="W6" s="23"/>
      <c r="X6" s="23"/>
      <c r="Y6" s="23"/>
      <c r="Z6" s="23"/>
    </row>
    <row r="7" ht="39.75" customHeight="1">
      <c r="A7" s="38">
        <v>1.0</v>
      </c>
      <c r="B7" s="66" t="s">
        <v>89</v>
      </c>
      <c r="C7" s="8"/>
      <c r="D7" s="40" t="s">
        <v>90</v>
      </c>
      <c r="E7" s="41"/>
      <c r="F7" s="42"/>
      <c r="G7" s="43" t="s">
        <v>31</v>
      </c>
      <c r="H7" s="23"/>
      <c r="I7" s="23"/>
      <c r="J7" s="23"/>
      <c r="K7" s="23"/>
      <c r="L7" s="23"/>
      <c r="M7" s="23"/>
      <c r="N7" s="23"/>
      <c r="O7" s="23"/>
      <c r="P7" s="23"/>
      <c r="Q7" s="23"/>
      <c r="R7" s="23"/>
      <c r="S7" s="23"/>
      <c r="T7" s="23"/>
      <c r="U7" s="23"/>
      <c r="V7" s="23"/>
      <c r="W7" s="23"/>
      <c r="X7" s="23"/>
      <c r="Y7" s="23"/>
      <c r="Z7" s="23"/>
    </row>
    <row r="8" ht="12.75" customHeight="1">
      <c r="A8" s="33" t="s">
        <v>91</v>
      </c>
      <c r="H8" s="23"/>
      <c r="I8" s="23"/>
      <c r="J8" s="23"/>
      <c r="K8" s="23"/>
      <c r="L8" s="23"/>
      <c r="M8" s="23"/>
      <c r="N8" s="23"/>
      <c r="O8" s="23"/>
      <c r="P8" s="23"/>
      <c r="Q8" s="23"/>
      <c r="R8" s="23"/>
      <c r="S8" s="23"/>
      <c r="T8" s="23"/>
      <c r="U8" s="23"/>
      <c r="V8" s="23"/>
      <c r="W8" s="23"/>
      <c r="X8" s="23"/>
      <c r="Y8" s="23"/>
      <c r="Z8" s="23"/>
    </row>
    <row r="9" ht="12.75" customHeight="1">
      <c r="A9" s="34" t="s">
        <v>27</v>
      </c>
      <c r="B9" s="35"/>
      <c r="C9" s="35"/>
      <c r="D9" s="35"/>
      <c r="E9" s="35"/>
      <c r="F9" s="35"/>
      <c r="G9" s="35"/>
      <c r="H9" s="23"/>
      <c r="I9" s="23"/>
      <c r="J9" s="23"/>
      <c r="K9" s="23"/>
      <c r="L9" s="23"/>
      <c r="M9" s="23"/>
      <c r="N9" s="23"/>
      <c r="O9" s="23"/>
      <c r="P9" s="23"/>
      <c r="Q9" s="23"/>
      <c r="R9" s="23"/>
      <c r="S9" s="23"/>
      <c r="T9" s="23"/>
      <c r="U9" s="23"/>
      <c r="V9" s="23"/>
      <c r="W9" s="23"/>
      <c r="X9" s="23"/>
      <c r="Y9" s="23"/>
      <c r="Z9" s="23"/>
    </row>
    <row r="10" ht="12.75" customHeight="1">
      <c r="A10" s="34" t="s">
        <v>28</v>
      </c>
      <c r="B10" s="35"/>
      <c r="C10" s="35"/>
      <c r="D10" s="35"/>
      <c r="E10" s="35"/>
      <c r="F10" s="35"/>
      <c r="G10" s="35"/>
      <c r="H10" s="23"/>
      <c r="I10" s="23"/>
      <c r="J10" s="23"/>
      <c r="K10" s="23"/>
      <c r="L10" s="23"/>
      <c r="M10" s="23"/>
      <c r="N10" s="23"/>
      <c r="O10" s="23"/>
      <c r="P10" s="23"/>
      <c r="Q10" s="23"/>
      <c r="R10" s="23"/>
      <c r="S10" s="23"/>
      <c r="T10" s="23"/>
      <c r="U10" s="23"/>
      <c r="V10" s="23"/>
      <c r="W10" s="23"/>
      <c r="X10" s="23"/>
      <c r="Y10" s="23"/>
      <c r="Z10" s="23"/>
    </row>
    <row r="11" ht="12.75" customHeight="1">
      <c r="A11" s="36"/>
      <c r="B11" s="37"/>
      <c r="C11" s="37"/>
      <c r="D11" s="37"/>
      <c r="E11" s="37"/>
      <c r="F11" s="37"/>
      <c r="G11" s="37"/>
      <c r="H11" s="23"/>
      <c r="I11" s="23"/>
      <c r="J11" s="23"/>
      <c r="K11" s="23"/>
      <c r="L11" s="23"/>
      <c r="M11" s="23"/>
      <c r="N11" s="23"/>
      <c r="O11" s="23"/>
      <c r="P11" s="23"/>
      <c r="Q11" s="23"/>
      <c r="R11" s="23"/>
      <c r="S11" s="23"/>
      <c r="T11" s="23"/>
      <c r="U11" s="23"/>
      <c r="V11" s="23"/>
      <c r="W11" s="23"/>
      <c r="X11" s="23"/>
      <c r="Y11" s="23"/>
      <c r="Z11" s="23"/>
    </row>
    <row r="12" ht="45.0" customHeight="1">
      <c r="A12" s="38">
        <v>1.0</v>
      </c>
      <c r="B12" s="66" t="s">
        <v>92</v>
      </c>
      <c r="C12" s="8"/>
      <c r="D12" s="40" t="s">
        <v>93</v>
      </c>
      <c r="E12" s="41"/>
      <c r="F12" s="42"/>
      <c r="G12" s="43" t="s">
        <v>31</v>
      </c>
      <c r="H12" s="23"/>
      <c r="I12" s="23"/>
      <c r="J12" s="23"/>
      <c r="K12" s="23"/>
      <c r="L12" s="23"/>
      <c r="M12" s="23"/>
      <c r="N12" s="23"/>
      <c r="O12" s="23"/>
      <c r="P12" s="23"/>
      <c r="Q12" s="23"/>
      <c r="R12" s="23"/>
      <c r="S12" s="23"/>
      <c r="T12" s="23"/>
      <c r="U12" s="23"/>
      <c r="V12" s="23"/>
      <c r="W12" s="23"/>
      <c r="X12" s="23"/>
      <c r="Y12" s="23"/>
      <c r="Z12" s="23"/>
    </row>
    <row r="13" ht="12.75" customHeight="1">
      <c r="A13" s="33" t="s">
        <v>94</v>
      </c>
      <c r="H13" s="23"/>
      <c r="I13" s="23"/>
      <c r="J13" s="23"/>
      <c r="K13" s="23"/>
      <c r="L13" s="23"/>
      <c r="M13" s="23"/>
      <c r="N13" s="23"/>
      <c r="O13" s="23"/>
      <c r="P13" s="23"/>
      <c r="Q13" s="23"/>
      <c r="R13" s="23"/>
      <c r="S13" s="23"/>
      <c r="T13" s="23"/>
      <c r="U13" s="23"/>
      <c r="V13" s="23"/>
      <c r="W13" s="23"/>
      <c r="X13" s="23"/>
      <c r="Y13" s="23"/>
      <c r="Z13" s="23"/>
    </row>
    <row r="14" ht="12.75" customHeight="1">
      <c r="A14" s="34" t="s">
        <v>27</v>
      </c>
      <c r="B14" s="35"/>
      <c r="C14" s="35"/>
      <c r="D14" s="35"/>
      <c r="E14" s="35"/>
      <c r="F14" s="35"/>
      <c r="G14" s="35"/>
      <c r="H14" s="23"/>
      <c r="I14" s="23"/>
      <c r="J14" s="23"/>
      <c r="K14" s="23"/>
      <c r="L14" s="23"/>
      <c r="M14" s="23"/>
      <c r="N14" s="23"/>
      <c r="O14" s="23"/>
      <c r="P14" s="23"/>
      <c r="Q14" s="23"/>
      <c r="R14" s="23"/>
      <c r="S14" s="23"/>
      <c r="T14" s="23"/>
      <c r="U14" s="23"/>
      <c r="V14" s="23"/>
      <c r="W14" s="23"/>
      <c r="X14" s="23"/>
      <c r="Y14" s="23"/>
      <c r="Z14" s="23"/>
    </row>
    <row r="15" ht="12.75" customHeight="1">
      <c r="A15" s="34" t="s">
        <v>28</v>
      </c>
      <c r="B15" s="35"/>
      <c r="C15" s="35"/>
      <c r="D15" s="35"/>
      <c r="E15" s="35"/>
      <c r="F15" s="35"/>
      <c r="G15" s="35"/>
      <c r="H15" s="23"/>
      <c r="I15" s="23"/>
      <c r="J15" s="23"/>
      <c r="K15" s="23"/>
      <c r="L15" s="23"/>
      <c r="M15" s="23"/>
      <c r="N15" s="23"/>
      <c r="O15" s="23"/>
      <c r="P15" s="23"/>
      <c r="Q15" s="23"/>
      <c r="R15" s="23"/>
      <c r="S15" s="23"/>
      <c r="T15" s="23"/>
      <c r="U15" s="23"/>
      <c r="V15" s="23"/>
      <c r="W15" s="23"/>
      <c r="X15" s="23"/>
      <c r="Y15" s="23"/>
      <c r="Z15" s="23"/>
    </row>
    <row r="16" ht="12.75" customHeight="1">
      <c r="A16" s="36"/>
      <c r="B16" s="37"/>
      <c r="C16" s="37"/>
      <c r="D16" s="37"/>
      <c r="E16" s="37"/>
      <c r="F16" s="37"/>
      <c r="G16" s="37"/>
      <c r="H16" s="23"/>
      <c r="I16" s="23"/>
      <c r="J16" s="23"/>
      <c r="K16" s="23"/>
      <c r="L16" s="23"/>
      <c r="M16" s="23"/>
      <c r="N16" s="23"/>
      <c r="O16" s="23"/>
      <c r="P16" s="23"/>
      <c r="Q16" s="23"/>
      <c r="R16" s="23"/>
      <c r="S16" s="23"/>
      <c r="T16" s="23"/>
      <c r="U16" s="23"/>
      <c r="V16" s="23"/>
      <c r="W16" s="23"/>
      <c r="X16" s="23"/>
      <c r="Y16" s="23"/>
      <c r="Z16" s="23"/>
    </row>
    <row r="17" ht="36.0" customHeight="1">
      <c r="A17" s="38">
        <v>1.0</v>
      </c>
      <c r="B17" s="66" t="s">
        <v>95</v>
      </c>
      <c r="C17" s="8"/>
      <c r="D17" s="40" t="s">
        <v>96</v>
      </c>
      <c r="E17" s="41"/>
      <c r="F17" s="42"/>
      <c r="G17" s="43" t="s">
        <v>31</v>
      </c>
      <c r="H17" s="23"/>
      <c r="I17" s="23"/>
      <c r="J17" s="23"/>
      <c r="K17" s="23"/>
      <c r="L17" s="23"/>
      <c r="M17" s="23"/>
      <c r="N17" s="23"/>
      <c r="O17" s="23"/>
      <c r="P17" s="23"/>
      <c r="Q17" s="23"/>
      <c r="R17" s="23"/>
      <c r="S17" s="23"/>
      <c r="T17" s="23"/>
      <c r="U17" s="23"/>
      <c r="V17" s="23"/>
      <c r="W17" s="23"/>
      <c r="X17" s="23"/>
      <c r="Y17" s="23"/>
      <c r="Z17" s="23"/>
    </row>
    <row r="18" ht="12.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ht="12.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12.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2.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2.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2.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2.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2.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2.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2.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2.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2.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2.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2.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2.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2.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2.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2.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2.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2.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2.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2.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2.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2.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2.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2.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2.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2.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2.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2.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2.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2.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2.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2.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2.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2.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2.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2.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2.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2.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2.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2.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2.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2.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2.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2.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2.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2.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2.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2.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2.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2.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2.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2.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2.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2.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2.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2.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2.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2.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2.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2.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2.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2.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2.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2.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2.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2.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2.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2.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2.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2.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2.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2.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2.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2.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2.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2.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2.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2.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2.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2.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2.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2.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2.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2.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2.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2.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2.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2.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2.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2.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2.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2.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2.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2.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2.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2.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2.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2.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2.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2.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2.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2.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2.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2.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2.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2.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2.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2.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2.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2.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2.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2.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2.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2.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2.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2.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2.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2.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2.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2.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2.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2.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2.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2.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2.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2.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2.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2.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2.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2.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2.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2.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2.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2.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2.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2.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2.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2.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2.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2.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2.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2.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2.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2.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2.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2.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2.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2.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2.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2.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2.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2.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2.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2.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2.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2.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2.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2.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2.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2.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2.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2.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2.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2.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2.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2.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2.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2.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2.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2.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2.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2.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2.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2.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2.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2.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2.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2.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2.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2.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2.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2.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2.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2.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2.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2.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2.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2.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2.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2.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2.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2.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2.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2.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2.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2.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2.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2.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2.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2.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2.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2.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2.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2.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2.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2.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2.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2.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2.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2.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2.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2.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2.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2.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2.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2.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2.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2.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2.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2.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2.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2.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2.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2.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2.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2.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2.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2.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2.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2.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2.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2.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2.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2.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2.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2.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2.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2.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2.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2.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2.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2.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2.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2.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2.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2.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2.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2.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2.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2.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2.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2.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2.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2.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2.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2.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2.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2.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2.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2.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2.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2.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2.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2.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2.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2.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2.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2.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2.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2.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2.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2.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2.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2.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2.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2.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2.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2.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2.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2.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2.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2.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2.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2.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2.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2.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2.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2.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2.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2.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2.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2.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2.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2.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2.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2.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2.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2.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2.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2.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2.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2.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2.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2.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2.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2.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2.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2.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2.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2.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2.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2.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2.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2.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2.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2.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2.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2.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2.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2.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2.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2.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2.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2.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2.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2.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2.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2.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2.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2.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2.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2.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2.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2.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2.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2.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2.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2.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2.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2.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2.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2.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2.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2.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2.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2.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2.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2.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2.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2.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2.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2.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2.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2.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2.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2.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2.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2.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2.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2.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2.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2.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2.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2.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2.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2.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2.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2.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2.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2.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2.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2.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2.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2.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2.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2.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2.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2.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2.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2.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2.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2.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2.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2.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2.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2.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2.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2.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2.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2.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2.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2.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2.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2.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2.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2.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2.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2.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2.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2.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2.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2.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2.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2.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2.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2.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2.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2.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2.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2.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2.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2.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2.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2.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2.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2.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2.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2.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2.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2.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2.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2.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2.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2.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2.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2.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2.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2.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2.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2.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2.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2.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2.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2.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2.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2.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2.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2.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2.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2.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2.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2.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2.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2.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2.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2.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2.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2.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2.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2.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2.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2.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2.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2.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2.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2.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2.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2.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2.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2.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2.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2.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2.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2.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2.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2.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2.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2.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2.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2.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2.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2.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2.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2.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2.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2.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2.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2.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2.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2.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2.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2.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2.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2.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2.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2.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2.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2.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2.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2.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2.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2.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2.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2.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2.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2.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2.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2.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2.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2.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2.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2.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2.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2.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2.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2.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2.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2.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2.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2.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2.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2.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2.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2.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2.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2.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2.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2.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2.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2.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2.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2.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2.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2.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2.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2.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2.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2.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2.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2.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2.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2.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2.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2.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2.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2.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2.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2.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2.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2.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2.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2.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2.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2.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2.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2.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2.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2.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2.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2.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2.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2.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2.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2.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2.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2.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2.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2.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2.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2.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2.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2.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2.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2.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2.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2.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2.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2.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2.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2.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2.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2.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2.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2.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2.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2.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2.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2.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2.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2.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2.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2.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2.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2.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2.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2.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2.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2.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2.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2.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2.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2.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2.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2.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2.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2.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2.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2.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2.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2.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2.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2.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2.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2.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2.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2.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2.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2.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2.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2.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2.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2.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2.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2.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2.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2.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2.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2.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2.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2.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2.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2.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2.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2.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2.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2.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2.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2.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2.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2.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2.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2.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2.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2.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2.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2.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2.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2.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2.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2.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2.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2.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2.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2.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2.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2.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2.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2.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2.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2.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2.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2.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2.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2.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2.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2.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2.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2.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2.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2.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2.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2.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2.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2.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2.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2.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2.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2.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2.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2.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2.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2.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2.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2.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2.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2.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2.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2.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2.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2.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2.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2.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2.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2.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2.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2.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2.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2.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2.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2.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2.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2.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2.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2.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2.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2.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2.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2.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2.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2.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2.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2.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2.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2.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2.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2.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2.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2.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2.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2.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2.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2.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2.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2.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2.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2.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2.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2.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2.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2.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2.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2.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2.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2.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2.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2.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2.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2.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2.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2.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2.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2.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2.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2.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2.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2.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2.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2.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2.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2.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2.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2.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2.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2.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2.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2.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2.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2.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2.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2.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2.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2.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2.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2.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2.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2.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2.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2.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2.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2.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2.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2.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2.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2.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2.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2.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2.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2.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2.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2.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2.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2.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2.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2.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2.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2.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2.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2.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2.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2.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2.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2.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2.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2.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2.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2.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2.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2.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2.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2.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2.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2.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2.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2.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2.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2.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2.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2.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2.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2.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2.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2.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2.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2.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2.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2.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2.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2.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2.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2.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2.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2.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2.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2.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2.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2.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2.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2.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2.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2.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2.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2.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2.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2.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2.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2.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2.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2.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2.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2.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2.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2.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2.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2.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2.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2.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2.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2.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2.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2.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2.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2.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2.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2.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2.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2.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2.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2.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2.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2.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2.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2.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2.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2.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2.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2.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2.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2.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2.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2.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2.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2.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2.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2.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2.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2.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2.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2.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2.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2.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2.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2.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2.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2.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2.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2.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2.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2.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2.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2.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2.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2.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2.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2.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2.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2.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sheetData>
  <mergeCells count="17">
    <mergeCell ref="A1:G1"/>
    <mergeCell ref="A2:G2"/>
    <mergeCell ref="A3:G3"/>
    <mergeCell ref="A9:G9"/>
    <mergeCell ref="A10:G10"/>
    <mergeCell ref="A13:G13"/>
    <mergeCell ref="A14:G14"/>
    <mergeCell ref="A15:G15"/>
    <mergeCell ref="A16:G16"/>
    <mergeCell ref="A4:G4"/>
    <mergeCell ref="A5:G5"/>
    <mergeCell ref="A6:G6"/>
    <mergeCell ref="B7:C7"/>
    <mergeCell ref="A11:G11"/>
    <mergeCell ref="B12:C12"/>
    <mergeCell ref="B17:C17"/>
    <mergeCell ref="A8:G8"/>
  </mergeCells>
  <dataValidations>
    <dataValidation type="list" allowBlank="1" sqref="G7 G12 G17">
      <formula1>"Developing,Tested"</formula1>
    </dataValidation>
  </dataValidations>
  <hyperlinks>
    <hyperlink display="Scenario 1: Kiểm tra chức năng của nút &quot;Nhập hàng&quot; ở phần &quot;Truy cập nhanh&quot;" location="'FUNC TC_TRUY CẬP NHANH'!A1:H8" ref="A3"/>
    <hyperlink display="Scenario 2: Kiểm tra chức năng của nút &quot;Thêm Nhà cung cấp&quot; ở phần &quot;Truy cập nhanh&quot;" location="'FUNC TC_TRUY CẬP NHANH'!A1:H8" ref="A8"/>
    <hyperlink display="Scenario 3: Kiểm tra chức năng của nút &quot;Sản phẩm&quot; ở phần &quot;Truy cập nhanh&quot;" location="'FUNC TC_TRUY CẬP NHANH'!A1:H8" ref="A13"/>
  </hyperlinks>
  <printOptions/>
  <pageMargins bottom="0.75" footer="0.0" header="0.0" left="0.7" right="0.7" top="0.75"/>
  <pageSetup orientation="landscape"/>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5.5"/>
    <col customWidth="1" min="3" max="3" width="23.5"/>
    <col customWidth="1" min="4" max="4" width="30.5"/>
    <col customWidth="1" min="5" max="5" width="27.13"/>
    <col customWidth="1" min="6" max="6" width="24.0"/>
    <col customWidth="1" min="7" max="8" width="15.13"/>
    <col customWidth="1" min="9" max="9" width="27.75"/>
    <col customWidth="1" min="10" max="12" width="15.13"/>
    <col customWidth="1" min="13" max="30" width="8.0"/>
  </cols>
  <sheetData>
    <row r="1" ht="22.5" customHeight="1">
      <c r="A1" s="44"/>
      <c r="B1" s="45" t="s">
        <v>44</v>
      </c>
      <c r="C1" s="46" t="s">
        <v>45</v>
      </c>
      <c r="D1" s="46" t="s">
        <v>46</v>
      </c>
      <c r="E1" s="46" t="s">
        <v>47</v>
      </c>
      <c r="F1" s="46" t="s">
        <v>48</v>
      </c>
      <c r="G1" s="44"/>
      <c r="H1" s="44"/>
      <c r="I1" s="44"/>
      <c r="J1" s="44"/>
      <c r="K1" s="44"/>
      <c r="L1" s="44"/>
      <c r="M1" s="23"/>
      <c r="N1" s="23"/>
      <c r="O1" s="23"/>
      <c r="P1" s="23"/>
      <c r="Q1" s="23"/>
      <c r="R1" s="23"/>
      <c r="S1" s="23"/>
      <c r="T1" s="23"/>
      <c r="U1" s="23"/>
      <c r="V1" s="23"/>
      <c r="W1" s="23"/>
      <c r="X1" s="23"/>
      <c r="Y1" s="23"/>
      <c r="Z1" s="23"/>
      <c r="AA1" s="23"/>
      <c r="AB1" s="23"/>
      <c r="AC1" s="23"/>
      <c r="AD1" s="23"/>
    </row>
    <row r="2" ht="22.5" customHeight="1">
      <c r="A2" s="44"/>
      <c r="B2" s="47"/>
      <c r="C2" s="48">
        <f>COUNTIF(G1:G218,"Pass")</f>
        <v>1</v>
      </c>
      <c r="D2" s="48">
        <f>COUNTIF(G1:G218,"Fail")</f>
        <v>2</v>
      </c>
      <c r="E2" s="48">
        <f>COUNTIF(G1:G218,"Untested")</f>
        <v>0</v>
      </c>
      <c r="F2" s="48">
        <f>SUM(C2,D2,E2)</f>
        <v>3</v>
      </c>
      <c r="G2" s="44"/>
      <c r="H2" s="44"/>
      <c r="I2" s="44"/>
      <c r="J2" s="44"/>
      <c r="K2" s="44"/>
      <c r="L2" s="44"/>
      <c r="M2" s="23"/>
      <c r="N2" s="23"/>
      <c r="O2" s="23"/>
      <c r="P2" s="23"/>
      <c r="Q2" s="23"/>
      <c r="R2" s="23"/>
      <c r="S2" s="23"/>
      <c r="T2" s="23"/>
      <c r="U2" s="23"/>
      <c r="V2" s="23"/>
      <c r="W2" s="23"/>
      <c r="X2" s="23"/>
      <c r="Y2" s="23"/>
      <c r="Z2" s="23"/>
      <c r="AA2" s="23"/>
      <c r="AB2" s="23"/>
      <c r="AC2" s="23"/>
      <c r="AD2" s="23"/>
    </row>
    <row r="3" ht="22.5" customHeight="1">
      <c r="A3" s="44"/>
      <c r="B3" s="44"/>
      <c r="C3" s="44"/>
      <c r="D3" s="44"/>
      <c r="E3" s="44"/>
      <c r="F3" s="44"/>
      <c r="G3" s="44"/>
      <c r="H3" s="44"/>
      <c r="I3" s="44"/>
      <c r="J3" s="44"/>
      <c r="K3" s="44"/>
      <c r="L3" s="44"/>
      <c r="M3" s="23"/>
      <c r="N3" s="23"/>
      <c r="O3" s="23"/>
      <c r="P3" s="23"/>
      <c r="Q3" s="23"/>
      <c r="R3" s="23"/>
      <c r="S3" s="23"/>
      <c r="T3" s="23"/>
      <c r="U3" s="23"/>
      <c r="V3" s="23"/>
      <c r="W3" s="23"/>
      <c r="X3" s="23"/>
      <c r="Y3" s="23"/>
      <c r="Z3" s="23"/>
      <c r="AA3" s="23"/>
      <c r="AB3" s="23"/>
      <c r="AC3" s="23"/>
      <c r="AD3" s="23"/>
    </row>
    <row r="4" ht="24.75" customHeight="1">
      <c r="A4" s="49" t="s">
        <v>49</v>
      </c>
      <c r="B4" s="49" t="s">
        <v>50</v>
      </c>
      <c r="C4" s="49" t="s">
        <v>51</v>
      </c>
      <c r="D4" s="49" t="s">
        <v>52</v>
      </c>
      <c r="E4" s="49" t="s">
        <v>53</v>
      </c>
      <c r="F4" s="49" t="s">
        <v>54</v>
      </c>
      <c r="G4" s="49" t="s">
        <v>55</v>
      </c>
      <c r="H4" s="50" t="s">
        <v>56</v>
      </c>
      <c r="I4" s="50" t="s">
        <v>57</v>
      </c>
      <c r="J4" s="50" t="s">
        <v>55</v>
      </c>
      <c r="K4" s="50" t="s">
        <v>58</v>
      </c>
      <c r="L4" s="49" t="s">
        <v>59</v>
      </c>
      <c r="M4" s="65"/>
      <c r="N4" s="65"/>
      <c r="O4" s="65"/>
      <c r="P4" s="65"/>
      <c r="Q4" s="65"/>
      <c r="R4" s="65"/>
      <c r="S4" s="65"/>
      <c r="T4" s="65"/>
      <c r="U4" s="65"/>
      <c r="V4" s="65"/>
      <c r="W4" s="65"/>
      <c r="X4" s="65"/>
      <c r="Y4" s="65"/>
      <c r="Z4" s="65"/>
      <c r="AA4" s="65"/>
      <c r="AB4" s="65"/>
      <c r="AC4" s="65"/>
      <c r="AD4" s="65"/>
    </row>
    <row r="5" ht="12.75" customHeight="1">
      <c r="A5" s="52" t="s">
        <v>60</v>
      </c>
      <c r="B5" s="53" t="s">
        <v>61</v>
      </c>
      <c r="C5" s="54"/>
      <c r="D5" s="54"/>
      <c r="E5" s="54"/>
      <c r="F5" s="54"/>
      <c r="G5" s="54"/>
      <c r="H5" s="54"/>
      <c r="I5" s="54"/>
      <c r="J5" s="54"/>
      <c r="K5" s="54"/>
      <c r="L5" s="54"/>
      <c r="M5" s="23"/>
      <c r="N5" s="23"/>
      <c r="O5" s="23"/>
      <c r="P5" s="23"/>
      <c r="Q5" s="23"/>
      <c r="R5" s="23"/>
      <c r="S5" s="23"/>
      <c r="T5" s="23"/>
      <c r="U5" s="23"/>
      <c r="V5" s="23"/>
      <c r="W5" s="23"/>
      <c r="X5" s="23"/>
      <c r="Y5" s="23"/>
      <c r="Z5" s="23"/>
      <c r="AA5" s="23"/>
      <c r="AB5" s="23"/>
      <c r="AC5" s="23"/>
      <c r="AD5" s="23"/>
    </row>
    <row r="6" ht="44.25" customHeight="1">
      <c r="A6" s="55" t="s">
        <v>62</v>
      </c>
      <c r="B6" s="56" t="s">
        <v>97</v>
      </c>
      <c r="C6" s="57" t="s">
        <v>64</v>
      </c>
      <c r="D6" s="40" t="s">
        <v>98</v>
      </c>
      <c r="E6" s="40" t="s">
        <v>99</v>
      </c>
      <c r="F6" s="40" t="s">
        <v>100</v>
      </c>
      <c r="G6" s="57" t="s">
        <v>46</v>
      </c>
      <c r="H6" s="58">
        <v>46127.0</v>
      </c>
      <c r="I6" s="40" t="s">
        <v>99</v>
      </c>
      <c r="J6" s="39" t="s">
        <v>45</v>
      </c>
      <c r="K6" s="58">
        <v>46130.0</v>
      </c>
      <c r="L6" s="67" t="s">
        <v>101</v>
      </c>
      <c r="M6" s="23"/>
      <c r="N6" s="23"/>
      <c r="O6" s="23"/>
      <c r="P6" s="23"/>
      <c r="Q6" s="23"/>
      <c r="R6" s="23"/>
      <c r="S6" s="23"/>
      <c r="T6" s="23"/>
      <c r="U6" s="23"/>
      <c r="V6" s="23"/>
      <c r="W6" s="23"/>
      <c r="X6" s="23"/>
      <c r="Y6" s="23"/>
      <c r="Z6" s="23"/>
      <c r="AA6" s="23"/>
      <c r="AB6" s="23"/>
      <c r="AC6" s="23"/>
      <c r="AD6" s="23"/>
    </row>
    <row r="7" ht="51.75" customHeight="1">
      <c r="A7" s="60" t="s">
        <v>68</v>
      </c>
      <c r="B7" s="61" t="s">
        <v>102</v>
      </c>
      <c r="C7" s="57" t="s">
        <v>64</v>
      </c>
      <c r="D7" s="62" t="s">
        <v>103</v>
      </c>
      <c r="E7" s="62" t="s">
        <v>104</v>
      </c>
      <c r="F7" s="40" t="s">
        <v>105</v>
      </c>
      <c r="G7" s="57" t="s">
        <v>46</v>
      </c>
      <c r="H7" s="58">
        <v>46127.0</v>
      </c>
      <c r="I7" s="62" t="s">
        <v>104</v>
      </c>
      <c r="J7" s="39" t="s">
        <v>45</v>
      </c>
      <c r="K7" s="58">
        <v>46130.0</v>
      </c>
      <c r="L7" s="67" t="s">
        <v>101</v>
      </c>
      <c r="M7" s="23"/>
      <c r="N7" s="23"/>
      <c r="O7" s="23"/>
      <c r="P7" s="23"/>
      <c r="Q7" s="23"/>
      <c r="R7" s="23"/>
      <c r="S7" s="23"/>
      <c r="T7" s="23"/>
      <c r="U7" s="23"/>
      <c r="V7" s="23"/>
      <c r="W7" s="23"/>
      <c r="X7" s="23"/>
      <c r="Y7" s="23"/>
      <c r="Z7" s="23"/>
      <c r="AA7" s="23"/>
      <c r="AB7" s="23"/>
      <c r="AC7" s="23"/>
      <c r="AD7" s="23"/>
    </row>
    <row r="8" ht="44.25" customHeight="1">
      <c r="A8" s="60" t="s">
        <v>73</v>
      </c>
      <c r="B8" s="61" t="s">
        <v>106</v>
      </c>
      <c r="C8" s="57" t="s">
        <v>64</v>
      </c>
      <c r="D8" s="62" t="s">
        <v>107</v>
      </c>
      <c r="E8" s="62" t="s">
        <v>108</v>
      </c>
      <c r="F8" s="62" t="s">
        <v>108</v>
      </c>
      <c r="G8" s="57" t="s">
        <v>45</v>
      </c>
      <c r="H8" s="58">
        <v>46127.0</v>
      </c>
      <c r="I8" s="62" t="s">
        <v>108</v>
      </c>
      <c r="J8" s="39" t="s">
        <v>45</v>
      </c>
      <c r="K8" s="58">
        <v>46130.0</v>
      </c>
      <c r="L8" s="59"/>
      <c r="M8" s="23"/>
      <c r="N8" s="23"/>
      <c r="O8" s="23"/>
      <c r="P8" s="23"/>
      <c r="Q8" s="23"/>
      <c r="R8" s="23"/>
      <c r="S8" s="23"/>
      <c r="T8" s="23"/>
      <c r="U8" s="23"/>
      <c r="V8" s="23"/>
      <c r="W8" s="23"/>
      <c r="X8" s="23"/>
      <c r="Y8" s="23"/>
      <c r="Z8" s="23"/>
      <c r="AA8" s="23"/>
      <c r="AB8" s="23"/>
      <c r="AC8" s="23"/>
      <c r="AD8" s="23"/>
    </row>
    <row r="9" ht="22.5" customHeight="1">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row>
    <row r="10" ht="22.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row>
    <row r="11" ht="22.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row>
    <row r="12" ht="22.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row>
    <row r="13" ht="22.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row>
    <row r="14" ht="22.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row>
    <row r="15" ht="22.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row>
    <row r="16" ht="22.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row>
    <row r="17" ht="22.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row>
    <row r="18" ht="22.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row>
    <row r="19" ht="22.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row>
    <row r="20" ht="22.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row>
    <row r="21" ht="22.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row>
    <row r="22" ht="22.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row>
    <row r="23" ht="22.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row>
    <row r="24" ht="22.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row>
    <row r="25" ht="22.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row>
    <row r="26" ht="22.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row>
    <row r="27" ht="22.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row>
    <row r="28" ht="22.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row>
    <row r="29" ht="22.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row>
    <row r="30" ht="22.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row>
    <row r="31" ht="22.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row>
    <row r="32" ht="22.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row>
    <row r="33" ht="22.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row>
    <row r="34" ht="2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row>
    <row r="35" ht="22.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row>
    <row r="36" ht="22.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row>
    <row r="37" ht="2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row>
    <row r="38" ht="2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row>
    <row r="39" ht="2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row>
    <row r="40" ht="2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row>
    <row r="41" ht="2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row>
    <row r="42" ht="2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row>
    <row r="43" ht="2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row>
    <row r="44" ht="2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row>
    <row r="45" ht="2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row>
    <row r="46" ht="2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row>
    <row r="47" ht="2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row>
    <row r="48" ht="2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row>
    <row r="49" ht="2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row>
    <row r="50" ht="2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row>
    <row r="51" ht="2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row>
    <row r="52" ht="2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row>
    <row r="53" ht="2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row>
    <row r="54" ht="2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row>
    <row r="55" ht="2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row>
    <row r="56" ht="2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row>
    <row r="57" ht="2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row>
    <row r="58" ht="2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row>
    <row r="59" ht="2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row>
    <row r="60" ht="2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row>
    <row r="61" ht="2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row>
    <row r="62" ht="2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row>
    <row r="63" ht="2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row>
    <row r="64" ht="2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row>
    <row r="65" ht="2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row>
    <row r="66" ht="2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row>
    <row r="67" ht="2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row>
    <row r="68" ht="2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row>
    <row r="69" ht="2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row>
    <row r="70" ht="2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row>
    <row r="71" ht="2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row>
    <row r="72" ht="2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row>
    <row r="73" ht="2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row>
    <row r="74" ht="2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row>
    <row r="75" ht="2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row>
    <row r="76" ht="2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row>
    <row r="77" ht="2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row>
    <row r="78" ht="2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row>
    <row r="79" ht="2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row>
    <row r="80" ht="2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row>
    <row r="81" ht="2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row>
    <row r="82" ht="2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row>
    <row r="83" ht="2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row>
    <row r="84" ht="2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row>
    <row r="85" ht="2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row>
    <row r="86" ht="2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row>
    <row r="87" ht="2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row>
    <row r="88" ht="2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row>
    <row r="89" ht="2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ht="2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row>
    <row r="91" ht="2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row>
    <row r="92" ht="2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row>
    <row r="93" ht="2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row>
    <row r="94" ht="2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row>
    <row r="95" ht="2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ht="2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row>
    <row r="97" ht="2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row>
    <row r="98" ht="2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row>
    <row r="99" ht="2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row>
    <row r="100" ht="2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row>
    <row r="101" ht="2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row>
    <row r="102" ht="2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row>
    <row r="103" ht="2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row>
    <row r="104" ht="2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ht="2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ht="2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ht="2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ht="2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row>
    <row r="109" ht="2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row>
    <row r="110" ht="2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row>
    <row r="111" ht="2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ht="2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row>
    <row r="113" ht="2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row>
    <row r="114" ht="2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row>
    <row r="115" ht="2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row>
    <row r="116" ht="2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row>
    <row r="117" ht="2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row>
    <row r="118" ht="2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ht="2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row>
    <row r="120" ht="2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ht="2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ht="2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ht="2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ht="2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ht="2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ht="2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ht="2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ht="2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row>
    <row r="129" ht="2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row>
    <row r="130" ht="2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ht="2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ht="2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ht="2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ht="2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row>
    <row r="135" ht="2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row>
    <row r="136" ht="2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ht="2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row>
    <row r="138" ht="2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row>
    <row r="139" ht="2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row>
    <row r="140" ht="2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row>
    <row r="141" ht="2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row>
    <row r="142" ht="2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ht="2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row>
    <row r="144" ht="2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ht="2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ht="2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ht="2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ht="2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ht="2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ht="2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ht="2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ht="2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ht="2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ht="2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row>
    <row r="155" ht="2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ht="2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ht="2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ht="2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ht="2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ht="2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ht="2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ht="2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ht="2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ht="2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ht="2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ht="2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ht="2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ht="2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ht="2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ht="2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ht="2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ht="2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ht="2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ht="2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ht="2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ht="2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ht="2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ht="2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ht="2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ht="2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row>
    <row r="181" ht="2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ht="2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row>
    <row r="183" ht="2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ht="2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ht="2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ht="2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ht="2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ht="2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ht="2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ht="2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ht="2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ht="2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ht="2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ht="2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ht="2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ht="2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ht="2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ht="2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ht="2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ht="2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ht="2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ht="2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ht="2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ht="2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ht="2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ht="2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ht="2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ht="2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ht="2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ht="2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ht="2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ht="2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ht="2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ht="2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ht="2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ht="2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ht="2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ht="2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ht="2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ht="2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ht="2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ht="2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ht="2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ht="2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ht="2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ht="2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ht="2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ht="2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ht="2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ht="2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ht="2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ht="2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ht="2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ht="2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ht="2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ht="2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ht="2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ht="2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ht="2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ht="2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ht="2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ht="2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ht="2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ht="2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ht="2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ht="2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ht="2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ht="2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ht="2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ht="2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ht="2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ht="2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ht="2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ht="2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ht="2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ht="2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ht="2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ht="2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ht="2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ht="2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ht="2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ht="2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ht="2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ht="2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ht="2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ht="2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ht="2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ht="2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ht="2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ht="2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ht="2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ht="2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ht="2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ht="2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ht="2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ht="2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ht="2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ht="2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ht="2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ht="2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ht="2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ht="2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ht="2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ht="2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ht="2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ht="2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ht="2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ht="2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ht="2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ht="2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ht="2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ht="2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ht="2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ht="2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ht="2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ht="2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ht="2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ht="2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ht="2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ht="2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ht="2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ht="2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ht="2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ht="2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ht="2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ht="2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ht="2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ht="2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ht="2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ht="2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ht="2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ht="2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ht="2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ht="2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ht="2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ht="2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ht="2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ht="2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ht="2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ht="2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ht="2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ht="2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ht="2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ht="2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ht="2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ht="2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ht="2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ht="2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ht="2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ht="2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ht="2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ht="2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ht="2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ht="2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ht="2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ht="2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ht="2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ht="2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ht="2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ht="2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ht="2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ht="2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ht="2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ht="2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ht="2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ht="2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ht="2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ht="2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ht="2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ht="2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ht="2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ht="2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ht="2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ht="2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ht="2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ht="2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ht="2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ht="2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ht="2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ht="2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ht="2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ht="2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ht="2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ht="2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ht="2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ht="2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ht="2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ht="2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ht="2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ht="2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ht="2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ht="2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ht="2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ht="2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ht="2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ht="2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ht="2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ht="2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ht="2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ht="2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ht="2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ht="2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ht="2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ht="2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ht="2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ht="2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ht="2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ht="2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ht="2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ht="2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ht="2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ht="2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ht="2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ht="2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ht="2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ht="2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ht="2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ht="2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ht="2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ht="2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ht="2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ht="2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ht="2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ht="2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ht="2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ht="2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ht="2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ht="2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ht="2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ht="2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ht="2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ht="2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ht="2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ht="2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ht="2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ht="2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ht="2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ht="2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ht="2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ht="2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ht="2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ht="2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ht="2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ht="2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ht="2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ht="2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ht="2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ht="2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ht="2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ht="2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ht="2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ht="2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ht="2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ht="2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ht="2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ht="2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ht="2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ht="2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ht="2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ht="2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ht="2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ht="2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ht="2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ht="2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ht="2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ht="2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ht="2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ht="2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ht="2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ht="2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ht="2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ht="2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ht="2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ht="2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ht="2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ht="2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ht="2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ht="2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ht="2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ht="2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ht="2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ht="2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ht="2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ht="2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ht="2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ht="2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ht="2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ht="2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ht="2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ht="2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ht="2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ht="2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ht="2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ht="2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ht="2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ht="2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ht="2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ht="2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ht="2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ht="2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ht="2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ht="2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ht="2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ht="2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ht="2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ht="2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ht="2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ht="2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ht="2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ht="2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ht="2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ht="2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ht="2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ht="2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ht="2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ht="2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ht="2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ht="2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ht="2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ht="2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ht="2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ht="2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ht="2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ht="2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ht="2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ht="2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ht="2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ht="2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ht="2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ht="2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ht="2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ht="2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ht="2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ht="2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ht="2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ht="2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ht="2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ht="2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ht="2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ht="2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ht="2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ht="2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ht="2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ht="2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ht="2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ht="2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ht="2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ht="2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ht="2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ht="2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ht="2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ht="2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ht="2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ht="2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ht="2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ht="2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ht="2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ht="2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ht="2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ht="2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ht="2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ht="2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ht="2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ht="2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ht="2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ht="2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ht="2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ht="2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ht="2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ht="2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ht="2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ht="2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ht="2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ht="2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ht="2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ht="2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ht="2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ht="2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ht="2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ht="2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ht="2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ht="2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ht="2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ht="2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ht="2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ht="2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ht="2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ht="2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ht="2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ht="2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ht="2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ht="2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ht="2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ht="2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ht="2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ht="2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ht="2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ht="2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ht="2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ht="2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ht="2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ht="2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ht="2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ht="2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ht="2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ht="2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ht="2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ht="2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ht="2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ht="2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ht="2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ht="2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ht="2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ht="2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ht="2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ht="2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ht="2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ht="2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ht="2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ht="2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ht="2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ht="2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ht="2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ht="2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ht="2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ht="2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ht="2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ht="2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ht="2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ht="2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ht="2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ht="2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ht="2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ht="2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ht="2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ht="2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ht="2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ht="2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ht="2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ht="2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ht="2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ht="2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ht="2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ht="2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ht="2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ht="2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ht="2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ht="2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ht="2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ht="2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ht="2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ht="2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ht="2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ht="2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ht="2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ht="2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ht="2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ht="2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ht="2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ht="2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ht="2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ht="2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ht="2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ht="2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ht="2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ht="2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ht="2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ht="2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ht="2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ht="2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ht="2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ht="2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ht="2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ht="2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ht="2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ht="2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ht="2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ht="2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ht="2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ht="2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ht="2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ht="2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ht="2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ht="2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ht="2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ht="2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ht="2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ht="2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ht="2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ht="2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ht="2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ht="2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ht="2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ht="2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ht="2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ht="2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ht="2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ht="2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ht="2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ht="2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ht="2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ht="2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ht="2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ht="2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ht="2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ht="2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ht="2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ht="2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ht="2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ht="2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ht="2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ht="2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ht="2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ht="2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ht="2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ht="2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ht="2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ht="2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ht="2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ht="2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ht="2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ht="2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ht="2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ht="2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ht="2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ht="2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ht="2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ht="2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ht="2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ht="2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row r="711" ht="2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ht="2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row>
    <row r="713" ht="2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ht="2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row>
    <row r="715" ht="2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ht="2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row>
    <row r="717" ht="2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ht="2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row>
    <row r="719" ht="2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row>
    <row r="720" ht="2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row>
    <row r="721" ht="2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row>
    <row r="722" ht="2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row>
    <row r="723" ht="2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row>
    <row r="724" ht="2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row>
    <row r="725" ht="2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row>
    <row r="726" ht="2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ht="2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row>
    <row r="728" ht="2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ht="2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row>
    <row r="730" ht="2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ht="2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ht="2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ht="2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row>
    <row r="734" ht="2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row>
    <row r="735" ht="2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row>
    <row r="736" ht="2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row>
    <row r="737" ht="2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row>
    <row r="738" ht="2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row>
    <row r="739" ht="2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row>
    <row r="740" ht="2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row>
    <row r="741" ht="2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ht="2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row>
    <row r="743" ht="2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ht="2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row>
    <row r="745" ht="2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ht="2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row>
    <row r="747" ht="2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ht="2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row>
    <row r="749" ht="2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row>
    <row r="750" ht="2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row>
    <row r="751" ht="2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row>
    <row r="752" ht="2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row>
    <row r="753" ht="2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row>
    <row r="754" ht="2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row>
    <row r="755" ht="2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row>
    <row r="756" ht="2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ht="2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row>
    <row r="758" ht="2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ht="2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row>
    <row r="760" ht="2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ht="2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row>
    <row r="762" ht="2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row>
    <row r="763" ht="2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row>
    <row r="764" ht="2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row>
    <row r="765" ht="2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row>
    <row r="766" ht="2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row>
    <row r="767" ht="2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row>
    <row r="768" ht="2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row>
    <row r="769" ht="2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row>
    <row r="770" ht="2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row>
    <row r="771" ht="2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row>
    <row r="772" ht="2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row>
    <row r="773" ht="2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row>
    <row r="774" ht="2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row>
    <row r="775" ht="2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row>
    <row r="776" ht="2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row>
    <row r="777" ht="2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row>
    <row r="778" ht="2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row>
    <row r="779" ht="2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ht="2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row>
    <row r="781" ht="2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ht="2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row>
    <row r="783" ht="2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ht="2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row>
    <row r="785" ht="2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row>
    <row r="786" ht="2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row>
    <row r="787" ht="2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row>
    <row r="788" ht="2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row>
    <row r="789" ht="2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row>
    <row r="790" ht="2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row>
    <row r="791" ht="2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row>
    <row r="792" ht="2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ht="2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ht="2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ht="2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ht="2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ht="2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row>
    <row r="798" ht="2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row>
    <row r="799" ht="2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row>
    <row r="800" ht="2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row>
    <row r="801" ht="2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row>
    <row r="802" ht="2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row>
    <row r="803" ht="2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row>
    <row r="804" ht="2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row>
    <row r="805" ht="2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row>
    <row r="806" ht="2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ht="2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row>
    <row r="808" ht="2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row>
    <row r="809" ht="2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row>
    <row r="810" ht="2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row>
    <row r="811" ht="2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row>
    <row r="812" ht="2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row>
    <row r="813" ht="2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row>
    <row r="814" ht="2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row>
    <row r="815" ht="2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row>
    <row r="816" ht="2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row>
    <row r="817" ht="2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row>
    <row r="818" ht="2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row>
    <row r="819" ht="2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row>
    <row r="820" ht="2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row>
    <row r="821" ht="2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row>
    <row r="822" ht="2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ht="2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row>
    <row r="824" ht="2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row>
    <row r="825" ht="2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row>
    <row r="826" ht="2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row>
    <row r="827" ht="2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row>
    <row r="828" ht="2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row>
    <row r="829" ht="2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row>
    <row r="830" ht="2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row>
    <row r="831" ht="2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row>
    <row r="832" ht="2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row>
    <row r="833" ht="2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row>
    <row r="834" ht="2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ht="2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row>
    <row r="836" ht="2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ht="2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row>
    <row r="838" ht="2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ht="2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row>
    <row r="840" ht="2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ht="2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row>
    <row r="842" ht="2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row>
    <row r="843" ht="2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row>
    <row r="844" ht="2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row>
    <row r="845" ht="2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row>
    <row r="846" ht="2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row>
    <row r="847" ht="2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ht="2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row>
    <row r="849" ht="2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row>
    <row r="850" ht="2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row>
    <row r="851" ht="2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row>
    <row r="852" ht="2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row>
    <row r="853" ht="2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row>
    <row r="854" ht="2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row>
    <row r="855" ht="2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row>
    <row r="856" ht="2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row>
    <row r="857" ht="2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row>
    <row r="858" ht="2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row>
    <row r="859" ht="2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ht="2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row>
    <row r="861" ht="2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row>
    <row r="862" ht="2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ht="2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row>
    <row r="864" ht="2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ht="2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row>
    <row r="866" ht="2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row>
    <row r="867" ht="2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row>
    <row r="868" ht="2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row>
    <row r="869" ht="2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ht="2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row>
    <row r="871" ht="2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row>
    <row r="872" ht="2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row>
    <row r="873" ht="2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row>
    <row r="874" ht="2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row>
    <row r="875" ht="2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row>
    <row r="876" ht="2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row>
    <row r="877" ht="2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row>
    <row r="878" ht="2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row r="879" ht="2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row>
    <row r="880" ht="2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row>
    <row r="881" ht="2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row>
    <row r="882" ht="2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row>
    <row r="883" ht="2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row>
    <row r="884" ht="2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row>
    <row r="885" ht="2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row>
    <row r="886" ht="2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row>
    <row r="887" ht="2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row>
    <row r="888" ht="2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row>
    <row r="889" ht="2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row>
    <row r="890" ht="2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row>
    <row r="891" ht="2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row>
    <row r="892" ht="2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row>
    <row r="893" ht="2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row>
    <row r="894" ht="2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row>
    <row r="895" ht="2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row>
    <row r="896" ht="2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row>
    <row r="897" ht="2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row>
    <row r="898" ht="2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row>
    <row r="899" ht="2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row>
    <row r="900" ht="2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row>
    <row r="901" ht="2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row>
    <row r="902" ht="2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row>
    <row r="903" ht="2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row>
    <row r="904" ht="2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row>
    <row r="905" ht="2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row>
    <row r="906" ht="2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row>
    <row r="907" ht="2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row>
    <row r="908" ht="2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row>
    <row r="909" ht="2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row>
    <row r="910" ht="2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row>
    <row r="911" ht="2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row>
    <row r="912" ht="2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row>
    <row r="913" ht="2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row>
    <row r="914" ht="2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row>
    <row r="915" ht="2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row>
    <row r="916" ht="2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row>
    <row r="917" ht="2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row>
    <row r="918" ht="2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row>
    <row r="919" ht="2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row>
    <row r="920" ht="2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row>
    <row r="921" ht="2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row>
    <row r="922" ht="2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row>
    <row r="923" ht="2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row>
    <row r="924" ht="2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row>
    <row r="925" ht="2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row>
    <row r="926" ht="2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row>
    <row r="927" ht="2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row>
    <row r="928" ht="2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row>
    <row r="929" ht="2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row>
    <row r="930" ht="2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row>
    <row r="931" ht="2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row>
    <row r="932" ht="2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row>
    <row r="933" ht="2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row>
    <row r="934" ht="2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row>
    <row r="935" ht="2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row>
    <row r="936" ht="2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row>
    <row r="937" ht="2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row>
    <row r="938" ht="2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row>
    <row r="939" ht="2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row>
    <row r="940" ht="2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row>
    <row r="941" ht="2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row>
    <row r="942" ht="2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row>
    <row r="943" ht="2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row>
    <row r="944" ht="2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row>
    <row r="945" ht="2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row>
    <row r="946" ht="2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row>
    <row r="947" ht="2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row>
    <row r="948" ht="2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row>
    <row r="949" ht="2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row>
    <row r="950" ht="2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row>
    <row r="951" ht="2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row>
    <row r="952" ht="2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row>
    <row r="953" ht="2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row>
    <row r="954" ht="2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row>
    <row r="955" ht="2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row>
    <row r="956" ht="2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row>
    <row r="957" ht="2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row>
    <row r="958" ht="2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row>
    <row r="959" ht="2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row>
    <row r="960" ht="2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row>
    <row r="961" ht="2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row>
    <row r="962" ht="2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row>
    <row r="963" ht="2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row>
    <row r="964" ht="2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row>
    <row r="965" ht="2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row>
    <row r="966" ht="2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row>
    <row r="967" ht="2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row>
    <row r="968" ht="2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row>
    <row r="969" ht="2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row>
    <row r="970" ht="2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row>
    <row r="971" ht="2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row>
    <row r="972" ht="2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row>
    <row r="973" ht="2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row>
    <row r="974" ht="2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row>
    <row r="975" ht="2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row>
    <row r="976" ht="2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row>
    <row r="977" ht="2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row>
    <row r="978" ht="2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row>
    <row r="979" ht="2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row>
    <row r="980" ht="2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row>
  </sheetData>
  <mergeCells count="2">
    <mergeCell ref="B1:B2"/>
    <mergeCell ref="B5:L5"/>
  </mergeCells>
  <dataValidations>
    <dataValidation type="list" allowBlank="1" showInputMessage="1" showErrorMessage="1" prompt=" - " sqref="L1:L2">
      <formula1>"Fatal,Major,Minor,Cosmetic"</formula1>
    </dataValidation>
    <dataValidation type="list" allowBlank="1" sqref="G6:G8 J6:J8">
      <formula1>"Pass,Fail,Untested"</formula1>
    </dataValidation>
    <dataValidation type="list" allowBlank="1" showInputMessage="1" showErrorMessage="1" prompt=" - " sqref="L6:L8">
      <formula1>"Critical,Major,Minor,Cosmetic"</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13"/>
    <col customWidth="1" min="2" max="2" width="17.75"/>
    <col customWidth="1" min="3" max="3" width="28.13"/>
    <col customWidth="1" min="4" max="4" width="30.5"/>
    <col customWidth="1" min="5" max="5" width="17.13"/>
    <col customWidth="1" min="6" max="6" width="16.5"/>
    <col customWidth="1" min="7" max="7" width="20.75"/>
    <col customWidth="1" min="8" max="8" width="11.5"/>
    <col customWidth="1" min="9" max="26" width="8.0"/>
  </cols>
  <sheetData>
    <row r="1" ht="15.0" customHeight="1">
      <c r="A1" s="20" t="s">
        <v>18</v>
      </c>
      <c r="B1" s="21"/>
      <c r="C1" s="21"/>
      <c r="D1" s="21"/>
      <c r="E1" s="21"/>
      <c r="F1" s="21"/>
      <c r="G1" s="22"/>
      <c r="H1" s="23"/>
      <c r="I1" s="23"/>
      <c r="J1" s="23"/>
      <c r="K1" s="23"/>
      <c r="L1" s="23"/>
      <c r="M1" s="23"/>
      <c r="N1" s="23"/>
      <c r="O1" s="23"/>
      <c r="P1" s="23"/>
      <c r="Q1" s="23"/>
      <c r="R1" s="23"/>
      <c r="S1" s="23"/>
      <c r="T1" s="23"/>
      <c r="U1" s="23"/>
      <c r="V1" s="23"/>
      <c r="W1" s="23"/>
      <c r="X1" s="23"/>
      <c r="Y1" s="23"/>
      <c r="Z1" s="23"/>
    </row>
    <row r="2" ht="36.75" customHeight="1">
      <c r="A2" s="24" t="s">
        <v>19</v>
      </c>
      <c r="B2" s="25"/>
      <c r="C2" s="25"/>
      <c r="D2" s="25"/>
      <c r="E2" s="25"/>
      <c r="F2" s="25"/>
      <c r="G2" s="26"/>
      <c r="H2" s="23"/>
      <c r="I2" s="23"/>
      <c r="J2" s="23"/>
      <c r="K2" s="23"/>
      <c r="L2" s="23"/>
      <c r="M2" s="23"/>
      <c r="N2" s="23"/>
      <c r="O2" s="23"/>
      <c r="P2" s="23"/>
      <c r="Q2" s="23"/>
      <c r="R2" s="23"/>
      <c r="S2" s="23"/>
      <c r="T2" s="23"/>
      <c r="U2" s="23"/>
      <c r="V2" s="23"/>
      <c r="W2" s="23"/>
      <c r="X2" s="23"/>
      <c r="Y2" s="23"/>
      <c r="Z2" s="23"/>
    </row>
    <row r="3" ht="12.75" customHeight="1">
      <c r="A3" s="33" t="s">
        <v>109</v>
      </c>
      <c r="H3" s="23" t="s">
        <v>110</v>
      </c>
      <c r="I3" s="23"/>
      <c r="J3" s="23"/>
      <c r="K3" s="23"/>
      <c r="L3" s="23"/>
      <c r="M3" s="23"/>
      <c r="N3" s="23"/>
      <c r="O3" s="23"/>
      <c r="P3" s="23"/>
      <c r="Q3" s="23"/>
      <c r="R3" s="23"/>
      <c r="S3" s="23"/>
      <c r="T3" s="23"/>
      <c r="U3" s="23"/>
      <c r="V3" s="23"/>
      <c r="W3" s="23"/>
      <c r="X3" s="23"/>
      <c r="Y3" s="23"/>
      <c r="Z3" s="23"/>
    </row>
    <row r="4" ht="12.75" customHeight="1">
      <c r="A4" s="34" t="s">
        <v>27</v>
      </c>
      <c r="B4" s="35"/>
      <c r="C4" s="35"/>
      <c r="D4" s="35"/>
      <c r="E4" s="35"/>
      <c r="F4" s="35"/>
      <c r="G4" s="35"/>
      <c r="H4" s="23"/>
      <c r="I4" s="23"/>
      <c r="J4" s="23"/>
      <c r="K4" s="23"/>
      <c r="L4" s="23"/>
      <c r="M4" s="23"/>
      <c r="N4" s="23"/>
      <c r="O4" s="23"/>
      <c r="P4" s="23"/>
      <c r="Q4" s="23"/>
      <c r="R4" s="23"/>
      <c r="S4" s="23"/>
      <c r="T4" s="23"/>
      <c r="U4" s="23"/>
      <c r="V4" s="23"/>
      <c r="W4" s="23"/>
      <c r="X4" s="23"/>
      <c r="Y4" s="23"/>
      <c r="Z4" s="23"/>
    </row>
    <row r="5" ht="12.75" customHeight="1">
      <c r="A5" s="34" t="s">
        <v>28</v>
      </c>
      <c r="B5" s="35"/>
      <c r="C5" s="35"/>
      <c r="D5" s="35"/>
      <c r="E5" s="35"/>
      <c r="F5" s="35"/>
      <c r="G5" s="35"/>
      <c r="H5" s="23"/>
      <c r="I5" s="23"/>
      <c r="J5" s="23"/>
      <c r="K5" s="23"/>
      <c r="L5" s="23"/>
      <c r="M5" s="23"/>
      <c r="N5" s="23"/>
      <c r="O5" s="23"/>
      <c r="P5" s="23"/>
      <c r="Q5" s="23"/>
      <c r="R5" s="23"/>
      <c r="S5" s="23"/>
      <c r="T5" s="23"/>
      <c r="U5" s="23"/>
      <c r="V5" s="23"/>
      <c r="W5" s="23"/>
      <c r="X5" s="23"/>
      <c r="Y5" s="23"/>
      <c r="Z5" s="23"/>
    </row>
    <row r="6" ht="13.5" customHeight="1">
      <c r="A6" s="36"/>
      <c r="B6" s="37"/>
      <c r="C6" s="37"/>
      <c r="D6" s="37"/>
      <c r="E6" s="37"/>
      <c r="F6" s="37"/>
      <c r="G6" s="37"/>
      <c r="H6" s="23"/>
      <c r="I6" s="23"/>
      <c r="J6" s="23"/>
      <c r="K6" s="23"/>
      <c r="L6" s="23"/>
      <c r="M6" s="23"/>
      <c r="N6" s="23"/>
      <c r="O6" s="23"/>
      <c r="P6" s="23"/>
      <c r="Q6" s="23"/>
      <c r="R6" s="23"/>
      <c r="S6" s="23"/>
      <c r="T6" s="23"/>
      <c r="U6" s="23"/>
      <c r="V6" s="23"/>
      <c r="W6" s="23"/>
      <c r="X6" s="23"/>
      <c r="Y6" s="23"/>
      <c r="Z6" s="23"/>
    </row>
    <row r="7" ht="42.75" customHeight="1">
      <c r="A7" s="38">
        <v>1.0</v>
      </c>
      <c r="B7" s="66" t="s">
        <v>111</v>
      </c>
      <c r="C7" s="8"/>
      <c r="D7" s="40" t="s">
        <v>112</v>
      </c>
      <c r="E7" s="41"/>
      <c r="F7" s="42"/>
      <c r="G7" s="68" t="s">
        <v>31</v>
      </c>
      <c r="H7" s="23"/>
      <c r="I7" s="23"/>
      <c r="J7" s="23"/>
      <c r="K7" s="23"/>
      <c r="L7" s="23"/>
      <c r="M7" s="23"/>
      <c r="N7" s="23"/>
      <c r="O7" s="23"/>
      <c r="P7" s="23"/>
      <c r="Q7" s="23"/>
      <c r="R7" s="23"/>
      <c r="S7" s="23"/>
      <c r="T7" s="23"/>
      <c r="U7" s="23"/>
      <c r="V7" s="23"/>
      <c r="W7" s="23"/>
      <c r="X7" s="23"/>
      <c r="Y7" s="23"/>
      <c r="Z7" s="23"/>
    </row>
    <row r="8" ht="53.25" customHeight="1">
      <c r="A8" s="56">
        <v>2.0</v>
      </c>
      <c r="B8" s="66" t="s">
        <v>113</v>
      </c>
      <c r="C8" s="8"/>
      <c r="D8" s="40" t="s">
        <v>114</v>
      </c>
      <c r="E8" s="41"/>
      <c r="F8" s="42"/>
      <c r="G8" s="69"/>
      <c r="H8" s="23"/>
      <c r="I8" s="23"/>
      <c r="J8" s="23"/>
      <c r="K8" s="23"/>
      <c r="L8" s="23"/>
      <c r="M8" s="23"/>
      <c r="N8" s="23"/>
      <c r="O8" s="23"/>
      <c r="P8" s="23"/>
      <c r="Q8" s="23"/>
      <c r="R8" s="23"/>
      <c r="S8" s="23"/>
      <c r="T8" s="23"/>
      <c r="U8" s="23"/>
      <c r="V8" s="23"/>
      <c r="W8" s="23"/>
      <c r="X8" s="23"/>
      <c r="Y8" s="23"/>
      <c r="Z8" s="23"/>
    </row>
    <row r="9" ht="12.75" customHeight="1">
      <c r="A9" s="23"/>
      <c r="B9" s="23"/>
      <c r="C9" s="23"/>
      <c r="D9" s="23"/>
      <c r="E9" s="23"/>
      <c r="F9" s="23"/>
      <c r="G9" s="23"/>
      <c r="H9" s="23"/>
      <c r="I9" s="23"/>
      <c r="J9" s="23"/>
      <c r="K9" s="23"/>
      <c r="L9" s="23"/>
      <c r="M9" s="23"/>
      <c r="N9" s="23"/>
      <c r="O9" s="23"/>
      <c r="P9" s="23"/>
      <c r="Q9" s="23"/>
      <c r="R9" s="23"/>
      <c r="S9" s="23"/>
      <c r="T9" s="23"/>
      <c r="U9" s="23"/>
      <c r="V9" s="23"/>
      <c r="W9" s="23"/>
      <c r="X9" s="23"/>
      <c r="Y9" s="23"/>
      <c r="Z9" s="23"/>
    </row>
    <row r="10" ht="12.7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ht="12.7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ht="12.7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ht="12.7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ht="12.7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ht="12.7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ht="12.7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ht="12.7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2.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ht="12.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12.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2.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2.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2.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2.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2.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2.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2.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2.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2.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2.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2.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2.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2.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2.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2.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2.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2.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2.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2.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2.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2.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2.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2.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2.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2.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2.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2.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2.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2.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2.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2.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2.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2.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2.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2.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2.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2.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2.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2.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2.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2.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2.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2.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2.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2.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2.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2.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2.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2.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2.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2.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2.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2.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2.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2.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2.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2.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2.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2.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2.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2.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2.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2.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2.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2.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2.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2.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2.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2.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2.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2.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2.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2.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2.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2.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2.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2.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2.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2.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2.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2.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2.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2.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2.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2.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2.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2.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2.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2.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2.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2.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2.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2.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2.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2.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2.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2.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2.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2.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2.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2.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2.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2.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2.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2.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2.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2.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2.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2.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2.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2.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2.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2.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2.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2.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2.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2.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2.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2.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2.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2.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2.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2.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2.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2.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2.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2.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2.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2.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2.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2.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2.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2.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2.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2.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2.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2.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2.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2.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2.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2.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2.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2.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2.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2.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2.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2.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2.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2.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2.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2.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2.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2.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2.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2.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2.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2.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2.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2.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2.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2.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2.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2.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2.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2.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2.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2.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2.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2.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2.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2.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2.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2.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2.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2.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2.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2.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2.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2.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2.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2.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2.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2.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2.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2.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2.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2.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2.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2.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2.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2.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2.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2.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2.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2.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2.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2.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2.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2.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2.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2.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2.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2.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2.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2.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2.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2.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2.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2.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2.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2.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2.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2.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2.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2.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2.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2.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2.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2.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2.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2.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2.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2.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2.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2.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2.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2.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2.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2.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2.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2.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2.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2.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2.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2.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2.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2.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2.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2.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2.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2.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2.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2.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2.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2.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2.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2.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2.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2.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2.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2.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2.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2.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2.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2.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2.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2.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2.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2.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2.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2.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2.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2.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2.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2.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2.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2.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2.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2.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2.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2.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2.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2.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2.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2.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2.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2.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2.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2.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2.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2.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2.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2.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2.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2.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2.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2.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2.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2.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2.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2.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2.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2.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2.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2.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2.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2.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2.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2.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2.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2.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2.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2.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2.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2.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2.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2.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2.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2.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2.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2.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2.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2.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2.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2.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2.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2.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2.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2.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2.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2.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2.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2.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2.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2.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2.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2.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2.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2.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2.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2.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2.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2.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2.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2.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2.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2.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2.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2.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2.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2.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2.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2.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2.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2.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2.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2.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2.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2.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2.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2.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2.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2.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2.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2.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2.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2.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2.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2.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2.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2.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2.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2.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2.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2.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2.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2.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2.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2.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2.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2.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2.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2.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2.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2.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2.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2.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2.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2.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2.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2.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2.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2.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2.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2.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2.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2.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2.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2.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2.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2.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2.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2.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2.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2.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2.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2.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2.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2.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2.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2.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2.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2.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2.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2.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2.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2.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2.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2.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2.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2.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2.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2.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2.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2.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2.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2.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2.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2.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2.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2.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2.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2.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2.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2.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2.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2.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2.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2.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2.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2.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2.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2.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2.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2.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2.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2.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2.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2.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2.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2.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2.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2.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2.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2.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2.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2.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2.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2.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2.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2.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2.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2.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2.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2.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2.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2.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2.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2.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2.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2.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2.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2.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2.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2.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2.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2.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2.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2.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2.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2.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2.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2.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2.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2.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2.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2.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2.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2.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2.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2.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2.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2.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2.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2.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2.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2.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2.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2.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2.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2.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2.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2.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2.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2.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2.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2.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2.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2.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2.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2.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2.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2.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2.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2.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2.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2.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2.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2.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2.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2.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2.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2.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2.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2.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2.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2.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2.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2.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2.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2.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2.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2.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2.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2.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2.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2.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2.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2.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2.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2.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2.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2.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2.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2.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2.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2.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2.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2.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2.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2.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2.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2.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2.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2.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2.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2.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2.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2.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2.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2.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2.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2.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2.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2.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2.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2.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2.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2.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2.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2.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2.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2.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2.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2.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2.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2.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2.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2.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2.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2.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2.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2.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2.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2.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2.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2.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2.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2.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2.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2.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2.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2.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2.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2.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2.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2.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2.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2.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2.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2.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2.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2.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2.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2.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2.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2.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2.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2.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2.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2.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2.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2.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2.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2.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2.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2.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2.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2.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2.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2.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2.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2.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2.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2.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2.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2.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2.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2.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2.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2.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2.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2.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2.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2.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2.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2.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2.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2.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2.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2.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2.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2.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2.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2.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2.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2.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2.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2.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2.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2.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2.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2.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2.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2.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2.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2.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2.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2.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2.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2.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2.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2.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2.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2.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2.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2.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2.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2.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2.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2.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2.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2.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2.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2.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2.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2.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2.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2.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2.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2.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2.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2.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2.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2.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2.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2.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2.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2.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2.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2.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2.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2.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2.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2.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2.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2.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2.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2.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2.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2.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2.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2.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2.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2.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2.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2.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2.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2.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2.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2.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2.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2.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2.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2.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2.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2.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2.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2.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2.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2.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2.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2.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2.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2.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2.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2.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2.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2.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2.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2.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2.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2.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2.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2.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2.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2.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2.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2.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2.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2.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2.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2.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2.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2.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2.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2.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2.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2.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2.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2.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2.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2.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2.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2.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2.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2.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2.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2.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2.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2.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2.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2.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2.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2.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2.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2.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2.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2.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2.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2.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2.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2.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2.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2.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2.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2.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2.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2.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2.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2.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2.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2.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2.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2.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2.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2.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2.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2.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2.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2.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2.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2.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2.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2.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2.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2.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2.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2.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2.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2.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2.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2.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2.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2.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2.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2.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2.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2.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2.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2.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2.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2.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2.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2.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2.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2.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2.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2.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2.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2.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2.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2.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2.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2.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2.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2.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2.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2.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2.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2.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2.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2.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2.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2.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2.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2.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2.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2.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2.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2.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2.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2.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2.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2.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2.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2.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2.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2.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2.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2.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2.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2.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2.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2.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2.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2.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2.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2.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2.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2.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2.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2.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2.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2.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2.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2.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2.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2.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2.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2.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2.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2.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2.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2.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2.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2.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2.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2.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2.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2.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2.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2.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2.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2.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2.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2.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2.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2.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2.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2.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2.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2.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2.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2.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2.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2.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2.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2.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2.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2.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2.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2.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2.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2.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2.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sheetData>
  <mergeCells count="9">
    <mergeCell ref="A1:G1"/>
    <mergeCell ref="A2:G2"/>
    <mergeCell ref="A3:G3"/>
    <mergeCell ref="A4:G4"/>
    <mergeCell ref="A5:G5"/>
    <mergeCell ref="A6:G6"/>
    <mergeCell ref="B7:C7"/>
    <mergeCell ref="G7:G8"/>
    <mergeCell ref="B8:C8"/>
  </mergeCells>
  <dataValidations>
    <dataValidation type="list" allowBlank="1" sqref="G7">
      <formula1>"Developing,Tested"</formula1>
    </dataValidation>
  </dataValidations>
  <hyperlinks>
    <hyperlink display="Scenario 1: Kiểm tra hiển thị dữ liệu tổng quan trên Dashboard" location="'FUNC TC_DỮ LIỆU DASHBOARD'!A1:H8" ref="A3"/>
  </hyperlinks>
  <printOptions/>
  <pageMargins bottom="0.75" footer="0.0" header="0.0" left="0.7" right="0.7" top="0.75"/>
  <pageSetup orientation="landscape"/>
  <headerFooter>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5.5"/>
    <col customWidth="1" min="3" max="3" width="23.5"/>
    <col customWidth="1" min="4" max="4" width="30.5"/>
    <col customWidth="1" min="5" max="5" width="27.13"/>
    <col customWidth="1" min="6" max="6" width="24.0"/>
    <col customWidth="1" min="7" max="8" width="15.13"/>
    <col customWidth="1" min="9" max="9" width="29.0"/>
    <col customWidth="1" min="10" max="12" width="15.13"/>
    <col customWidth="1" min="13" max="30" width="8.0"/>
  </cols>
  <sheetData>
    <row r="1" ht="22.5" customHeight="1">
      <c r="A1" s="44"/>
      <c r="B1" s="45" t="s">
        <v>44</v>
      </c>
      <c r="C1" s="46" t="s">
        <v>45</v>
      </c>
      <c r="D1" s="46" t="s">
        <v>46</v>
      </c>
      <c r="E1" s="46" t="s">
        <v>47</v>
      </c>
      <c r="F1" s="46" t="s">
        <v>48</v>
      </c>
      <c r="G1" s="44"/>
      <c r="H1" s="44"/>
      <c r="I1" s="44"/>
      <c r="J1" s="44"/>
      <c r="K1" s="44"/>
      <c r="L1" s="44"/>
      <c r="M1" s="23"/>
      <c r="N1" s="23"/>
      <c r="O1" s="23"/>
      <c r="P1" s="23"/>
      <c r="Q1" s="23"/>
      <c r="R1" s="23"/>
      <c r="S1" s="23"/>
      <c r="T1" s="23"/>
      <c r="U1" s="23"/>
      <c r="V1" s="23"/>
      <c r="W1" s="23"/>
      <c r="X1" s="23"/>
      <c r="Y1" s="23"/>
      <c r="Z1" s="23"/>
      <c r="AA1" s="23"/>
      <c r="AB1" s="23"/>
      <c r="AC1" s="23"/>
      <c r="AD1" s="23"/>
    </row>
    <row r="2" ht="22.5" customHeight="1">
      <c r="A2" s="44"/>
      <c r="B2" s="47"/>
      <c r="C2" s="48">
        <f>COUNTIF(G1:G218,"Pass")</f>
        <v>2</v>
      </c>
      <c r="D2" s="48">
        <f>COUNTIF(G1:G218,"Fail")</f>
        <v>0</v>
      </c>
      <c r="E2" s="48">
        <f>COUNTIF(G1:G218,"Untested")</f>
        <v>0</v>
      </c>
      <c r="F2" s="48">
        <f>SUM(C2,D2,E2)</f>
        <v>2</v>
      </c>
      <c r="G2" s="44"/>
      <c r="H2" s="44"/>
      <c r="I2" s="44"/>
      <c r="J2" s="44"/>
      <c r="K2" s="44"/>
      <c r="L2" s="44"/>
      <c r="M2" s="23"/>
      <c r="N2" s="23"/>
      <c r="O2" s="23"/>
      <c r="P2" s="23"/>
      <c r="Q2" s="23"/>
      <c r="R2" s="23"/>
      <c r="S2" s="23"/>
      <c r="T2" s="23"/>
      <c r="U2" s="23"/>
      <c r="V2" s="23"/>
      <c r="W2" s="23"/>
      <c r="X2" s="23"/>
      <c r="Y2" s="23"/>
      <c r="Z2" s="23"/>
      <c r="AA2" s="23"/>
      <c r="AB2" s="23"/>
      <c r="AC2" s="23"/>
      <c r="AD2" s="23"/>
    </row>
    <row r="3" ht="22.5" customHeight="1">
      <c r="A3" s="44"/>
      <c r="B3" s="44"/>
      <c r="C3" s="44"/>
      <c r="D3" s="44"/>
      <c r="E3" s="44"/>
      <c r="F3" s="44"/>
      <c r="G3" s="44"/>
      <c r="H3" s="44"/>
      <c r="I3" s="44"/>
      <c r="J3" s="44"/>
      <c r="K3" s="44"/>
      <c r="L3" s="44"/>
      <c r="M3" s="23"/>
      <c r="N3" s="23"/>
      <c r="O3" s="23"/>
      <c r="P3" s="23"/>
      <c r="Q3" s="23"/>
      <c r="R3" s="23"/>
      <c r="S3" s="23"/>
      <c r="T3" s="23"/>
      <c r="U3" s="23"/>
      <c r="V3" s="23"/>
      <c r="W3" s="23"/>
      <c r="X3" s="23"/>
      <c r="Y3" s="23"/>
      <c r="Z3" s="23"/>
      <c r="AA3" s="23"/>
      <c r="AB3" s="23"/>
      <c r="AC3" s="23"/>
      <c r="AD3" s="23"/>
    </row>
    <row r="4" ht="24.75" customHeight="1">
      <c r="A4" s="49" t="s">
        <v>49</v>
      </c>
      <c r="B4" s="49" t="s">
        <v>50</v>
      </c>
      <c r="C4" s="49" t="s">
        <v>51</v>
      </c>
      <c r="D4" s="49" t="s">
        <v>52</v>
      </c>
      <c r="E4" s="49" t="s">
        <v>53</v>
      </c>
      <c r="F4" s="49" t="s">
        <v>54</v>
      </c>
      <c r="G4" s="49" t="s">
        <v>55</v>
      </c>
      <c r="H4" s="50" t="s">
        <v>56</v>
      </c>
      <c r="I4" s="50" t="s">
        <v>57</v>
      </c>
      <c r="J4" s="50" t="s">
        <v>55</v>
      </c>
      <c r="K4" s="50" t="s">
        <v>58</v>
      </c>
      <c r="L4" s="49" t="s">
        <v>59</v>
      </c>
      <c r="M4" s="65"/>
      <c r="N4" s="65"/>
      <c r="O4" s="65"/>
      <c r="P4" s="65"/>
      <c r="Q4" s="65"/>
      <c r="R4" s="65"/>
      <c r="S4" s="65"/>
      <c r="T4" s="65"/>
      <c r="U4" s="65"/>
      <c r="V4" s="65"/>
      <c r="W4" s="65"/>
      <c r="X4" s="65"/>
      <c r="Y4" s="65"/>
      <c r="Z4" s="65"/>
      <c r="AA4" s="65"/>
      <c r="AB4" s="65"/>
      <c r="AC4" s="65"/>
      <c r="AD4" s="65"/>
    </row>
    <row r="5" ht="12.75" customHeight="1">
      <c r="A5" s="52" t="s">
        <v>60</v>
      </c>
      <c r="B5" s="53" t="s">
        <v>61</v>
      </c>
      <c r="C5" s="54"/>
      <c r="D5" s="54"/>
      <c r="E5" s="54"/>
      <c r="F5" s="54"/>
      <c r="G5" s="54"/>
      <c r="H5" s="54"/>
      <c r="I5" s="54"/>
      <c r="J5" s="54"/>
      <c r="K5" s="54"/>
      <c r="L5" s="54"/>
      <c r="M5" s="23"/>
      <c r="N5" s="23"/>
      <c r="O5" s="23"/>
      <c r="P5" s="23"/>
      <c r="Q5" s="23"/>
      <c r="R5" s="23"/>
      <c r="S5" s="23"/>
      <c r="T5" s="23"/>
      <c r="U5" s="23"/>
      <c r="V5" s="23"/>
      <c r="W5" s="23"/>
      <c r="X5" s="23"/>
      <c r="Y5" s="23"/>
      <c r="Z5" s="23"/>
      <c r="AA5" s="23"/>
      <c r="AB5" s="23"/>
      <c r="AC5" s="23"/>
      <c r="AD5" s="23"/>
    </row>
    <row r="6" ht="65.25" customHeight="1">
      <c r="A6" s="55" t="s">
        <v>62</v>
      </c>
      <c r="B6" s="56" t="s">
        <v>115</v>
      </c>
      <c r="C6" s="57" t="s">
        <v>116</v>
      </c>
      <c r="D6" s="40" t="s">
        <v>117</v>
      </c>
      <c r="E6" s="40" t="s">
        <v>118</v>
      </c>
      <c r="F6" s="40" t="s">
        <v>119</v>
      </c>
      <c r="G6" s="57" t="s">
        <v>45</v>
      </c>
      <c r="H6" s="58">
        <v>46127.0</v>
      </c>
      <c r="I6" s="40" t="s">
        <v>119</v>
      </c>
      <c r="J6" s="39" t="s">
        <v>45</v>
      </c>
      <c r="K6" s="58">
        <v>46130.0</v>
      </c>
      <c r="L6" s="59"/>
      <c r="M6" s="23"/>
      <c r="N6" s="23"/>
      <c r="O6" s="23"/>
      <c r="P6" s="23"/>
      <c r="Q6" s="23"/>
      <c r="R6" s="23"/>
      <c r="S6" s="23"/>
      <c r="T6" s="23"/>
      <c r="U6" s="23"/>
      <c r="V6" s="23"/>
      <c r="W6" s="23"/>
      <c r="X6" s="23"/>
      <c r="Y6" s="23"/>
      <c r="Z6" s="23"/>
      <c r="AA6" s="23"/>
      <c r="AB6" s="23"/>
      <c r="AC6" s="23"/>
      <c r="AD6" s="23"/>
    </row>
    <row r="7" ht="42.0" customHeight="1">
      <c r="A7" s="70" t="s">
        <v>120</v>
      </c>
      <c r="B7" s="71" t="s">
        <v>121</v>
      </c>
      <c r="C7" s="72" t="s">
        <v>64</v>
      </c>
      <c r="D7" s="40" t="s">
        <v>122</v>
      </c>
      <c r="E7" s="73" t="s">
        <v>123</v>
      </c>
      <c r="F7" s="73" t="s">
        <v>124</v>
      </c>
      <c r="G7" s="72" t="s">
        <v>45</v>
      </c>
      <c r="H7" s="74">
        <v>46127.0</v>
      </c>
      <c r="I7" s="73" t="s">
        <v>124</v>
      </c>
      <c r="J7" s="75" t="s">
        <v>45</v>
      </c>
      <c r="K7" s="74">
        <v>46130.0</v>
      </c>
      <c r="L7" s="76"/>
      <c r="M7" s="23"/>
      <c r="N7" s="23"/>
      <c r="O7" s="23"/>
      <c r="P7" s="23"/>
      <c r="Q7" s="23"/>
      <c r="R7" s="23"/>
      <c r="S7" s="23"/>
      <c r="T7" s="23"/>
      <c r="U7" s="23"/>
      <c r="V7" s="23"/>
      <c r="W7" s="23"/>
      <c r="X7" s="23"/>
      <c r="Y7" s="23"/>
      <c r="Z7" s="23"/>
      <c r="AA7" s="23"/>
      <c r="AB7" s="23"/>
      <c r="AC7" s="23"/>
      <c r="AD7" s="23"/>
    </row>
    <row r="8" ht="34.5" customHeight="1">
      <c r="A8" s="69"/>
      <c r="B8" s="69"/>
      <c r="C8" s="69"/>
      <c r="D8" s="40" t="s">
        <v>125</v>
      </c>
      <c r="E8" s="69"/>
      <c r="F8" s="69"/>
      <c r="G8" s="69"/>
      <c r="H8" s="69"/>
      <c r="I8" s="69"/>
      <c r="J8" s="77"/>
      <c r="K8" s="69"/>
      <c r="L8" s="69"/>
      <c r="M8" s="23"/>
      <c r="N8" s="23"/>
      <c r="O8" s="23"/>
      <c r="P8" s="23"/>
      <c r="Q8" s="23"/>
      <c r="R8" s="23"/>
      <c r="S8" s="23"/>
      <c r="T8" s="23"/>
      <c r="U8" s="23"/>
      <c r="V8" s="23"/>
      <c r="W8" s="23"/>
      <c r="X8" s="23"/>
      <c r="Y8" s="23"/>
      <c r="Z8" s="23"/>
      <c r="AA8" s="23"/>
      <c r="AB8" s="23"/>
      <c r="AC8" s="23"/>
      <c r="AD8" s="23"/>
    </row>
    <row r="9" ht="22.5" customHeight="1">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row>
    <row r="10" ht="22.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row>
    <row r="11" ht="22.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row>
    <row r="12" ht="22.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row>
    <row r="13" ht="22.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row>
    <row r="14" ht="22.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row>
    <row r="15" ht="22.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row>
    <row r="16" ht="22.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row>
    <row r="17" ht="22.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row>
    <row r="18" ht="22.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row>
    <row r="19" ht="22.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row>
    <row r="20" ht="22.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row>
    <row r="21" ht="22.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row>
    <row r="22" ht="22.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row>
    <row r="23" ht="22.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row>
    <row r="24" ht="22.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row>
    <row r="25" ht="22.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row>
    <row r="26" ht="22.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row>
    <row r="27" ht="22.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row>
    <row r="28" ht="22.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row>
    <row r="29" ht="22.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row>
    <row r="30" ht="22.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row>
    <row r="31" ht="22.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row>
    <row r="32" ht="22.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row>
    <row r="33" ht="22.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row>
    <row r="34" ht="2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row>
    <row r="35" ht="22.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row>
    <row r="36" ht="22.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row>
    <row r="37" ht="2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row>
    <row r="38" ht="2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row>
    <row r="39" ht="2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row>
    <row r="40" ht="2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row>
    <row r="41" ht="2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row>
    <row r="42" ht="2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row>
    <row r="43" ht="2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row>
    <row r="44" ht="2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row>
    <row r="45" ht="2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row>
    <row r="46" ht="2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row>
    <row r="47" ht="2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row>
    <row r="48" ht="2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row>
    <row r="49" ht="2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row>
    <row r="50" ht="2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row>
    <row r="51" ht="2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row>
    <row r="52" ht="2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row>
    <row r="53" ht="2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row>
    <row r="54" ht="2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row>
    <row r="55" ht="2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row>
    <row r="56" ht="2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row>
    <row r="57" ht="2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row>
    <row r="58" ht="2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row>
    <row r="59" ht="2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row>
    <row r="60" ht="2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row>
    <row r="61" ht="2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row>
    <row r="62" ht="2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row>
    <row r="63" ht="2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row>
    <row r="64" ht="2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row>
    <row r="65" ht="2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row>
    <row r="66" ht="2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row>
    <row r="67" ht="2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row>
    <row r="68" ht="2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row>
    <row r="69" ht="2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row>
    <row r="70" ht="2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row>
    <row r="71" ht="2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row>
    <row r="72" ht="2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row>
    <row r="73" ht="2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row>
    <row r="74" ht="2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row>
    <row r="75" ht="2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row>
    <row r="76" ht="2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row>
    <row r="77" ht="2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row>
    <row r="78" ht="2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row>
    <row r="79" ht="2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row>
    <row r="80" ht="2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row>
    <row r="81" ht="2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row>
    <row r="82" ht="2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row>
    <row r="83" ht="2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row>
    <row r="84" ht="2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row>
    <row r="85" ht="2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row>
    <row r="86" ht="2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row>
    <row r="87" ht="2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row>
    <row r="88" ht="2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row>
    <row r="89" ht="2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ht="2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row>
    <row r="91" ht="2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row>
    <row r="92" ht="2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row>
    <row r="93" ht="2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row>
    <row r="94" ht="2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row>
    <row r="95" ht="2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ht="2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row>
    <row r="97" ht="2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row>
    <row r="98" ht="2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row>
    <row r="99" ht="2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row>
    <row r="100" ht="2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row>
    <row r="101" ht="2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row>
    <row r="102" ht="2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row>
    <row r="103" ht="2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row>
    <row r="104" ht="2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ht="2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ht="2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ht="2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ht="2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row>
    <row r="109" ht="2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row>
    <row r="110" ht="2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row>
    <row r="111" ht="2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ht="2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row>
    <row r="113" ht="2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row>
    <row r="114" ht="2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row>
    <row r="115" ht="2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row>
    <row r="116" ht="2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row>
    <row r="117" ht="2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row>
    <row r="118" ht="2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ht="2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row>
    <row r="120" ht="2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ht="2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ht="2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ht="2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ht="2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ht="2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ht="2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ht="2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ht="2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row>
    <row r="129" ht="2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row>
    <row r="130" ht="2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ht="2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ht="2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ht="2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ht="2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row>
    <row r="135" ht="2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row>
    <row r="136" ht="2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ht="2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row>
    <row r="138" ht="2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row>
    <row r="139" ht="2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row>
    <row r="140" ht="2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row>
    <row r="141" ht="2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row>
    <row r="142" ht="2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ht="2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row>
    <row r="144" ht="2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ht="2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ht="2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ht="2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ht="2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ht="2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ht="2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ht="2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ht="2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ht="2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ht="2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row>
    <row r="155" ht="2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ht="2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ht="2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ht="2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ht="2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ht="2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ht="2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ht="2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ht="2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ht="2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ht="2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ht="2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ht="2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ht="2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ht="2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ht="2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ht="2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ht="2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ht="2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ht="2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ht="2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ht="2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ht="2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ht="2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ht="2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ht="2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row>
    <row r="181" ht="2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ht="2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row>
    <row r="183" ht="2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ht="2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ht="2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ht="2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ht="2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ht="2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ht="2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ht="2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ht="2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ht="2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ht="2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ht="2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ht="2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ht="2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ht="2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ht="2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ht="2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ht="2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ht="2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ht="2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ht="2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ht="2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ht="2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ht="2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ht="2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ht="2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ht="2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ht="2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ht="2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ht="2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ht="2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ht="2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ht="2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ht="2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ht="2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ht="2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ht="2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ht="2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ht="2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ht="2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ht="2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ht="2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ht="2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ht="2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ht="2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ht="2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ht="2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ht="2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ht="2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ht="2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ht="2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ht="2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ht="2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ht="2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ht="2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ht="2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ht="2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ht="2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ht="2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ht="2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ht="2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ht="2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ht="2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ht="2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ht="2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ht="2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ht="2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ht="2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ht="2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ht="2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ht="2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ht="2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ht="2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ht="2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ht="2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ht="2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ht="2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ht="2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ht="2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ht="2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ht="2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ht="2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ht="2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ht="2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ht="2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ht="2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ht="2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ht="2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ht="2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ht="2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ht="2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ht="2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ht="2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ht="2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ht="2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ht="2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ht="2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ht="2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ht="2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ht="2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ht="2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ht="2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ht="2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ht="2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ht="2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ht="2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ht="2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ht="2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ht="2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ht="2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ht="2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ht="2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ht="2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ht="2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ht="2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ht="2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ht="2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ht="2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ht="2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ht="2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ht="2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ht="2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ht="2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ht="2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ht="2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ht="2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ht="2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ht="2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ht="2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ht="2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ht="2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ht="2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ht="2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ht="2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ht="2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ht="2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ht="2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ht="2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ht="2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ht="2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ht="2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ht="2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ht="2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ht="2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ht="2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ht="2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ht="2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ht="2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ht="2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ht="2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ht="2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ht="2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ht="2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ht="2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ht="2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ht="2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ht="2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ht="2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ht="2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ht="2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ht="2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ht="2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ht="2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ht="2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ht="2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ht="2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ht="2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ht="2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ht="2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ht="2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ht="2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ht="2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ht="2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ht="2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ht="2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ht="2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ht="2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ht="2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ht="2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ht="2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ht="2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ht="2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ht="2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ht="2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ht="2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ht="2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ht="2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ht="2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ht="2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ht="2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ht="2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ht="2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ht="2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ht="2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ht="2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ht="2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ht="2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ht="2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ht="2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ht="2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ht="2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ht="2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ht="2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ht="2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ht="2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ht="2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ht="2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ht="2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ht="2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ht="2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ht="2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ht="2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ht="2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ht="2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ht="2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ht="2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ht="2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ht="2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ht="2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ht="2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ht="2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ht="2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ht="2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ht="2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ht="2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ht="2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ht="2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ht="2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ht="2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ht="2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ht="2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ht="2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ht="2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ht="2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ht="2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ht="2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ht="2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ht="2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ht="2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ht="2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ht="2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ht="2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ht="2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ht="2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ht="2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ht="2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ht="2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ht="2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ht="2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ht="2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ht="2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ht="2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ht="2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ht="2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ht="2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ht="2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ht="2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ht="2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ht="2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ht="2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ht="2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ht="2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ht="2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ht="2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ht="2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ht="2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ht="2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ht="2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ht="2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ht="2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ht="2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ht="2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ht="2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ht="2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ht="2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ht="2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ht="2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ht="2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ht="2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ht="2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ht="2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ht="2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ht="2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ht="2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ht="2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ht="2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ht="2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ht="2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ht="2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ht="2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ht="2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ht="2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ht="2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ht="2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ht="2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ht="2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ht="2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ht="2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ht="2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ht="2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ht="2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ht="2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ht="2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ht="2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ht="2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ht="2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ht="2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ht="2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ht="2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ht="2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ht="2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ht="2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ht="2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ht="2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ht="2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ht="2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ht="2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ht="2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ht="2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ht="2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ht="2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ht="2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ht="2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ht="2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ht="2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ht="2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ht="2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ht="2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ht="2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ht="2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ht="2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ht="2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ht="2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ht="2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ht="2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ht="2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ht="2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ht="2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ht="2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ht="2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ht="2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ht="2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ht="2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ht="2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ht="2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ht="2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ht="2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ht="2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ht="2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ht="2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ht="2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ht="2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ht="2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ht="2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ht="2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ht="2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ht="2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ht="2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ht="2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ht="2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ht="2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ht="2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ht="2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ht="2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ht="2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ht="2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ht="2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ht="2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ht="2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ht="2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ht="2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ht="2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ht="2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ht="2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ht="2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ht="2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ht="2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ht="2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ht="2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ht="2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ht="2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ht="2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ht="2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ht="2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ht="2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ht="2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ht="2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ht="2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ht="2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ht="2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ht="2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ht="2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ht="2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ht="2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ht="2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ht="2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ht="2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ht="2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ht="2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ht="2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ht="2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ht="2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ht="2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ht="2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ht="2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ht="2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ht="2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ht="2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ht="2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ht="2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ht="2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ht="2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ht="2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ht="2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ht="2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ht="2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ht="2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ht="2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ht="2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ht="2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ht="2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ht="2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ht="2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ht="2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ht="2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ht="2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ht="2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ht="2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ht="2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ht="2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ht="2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ht="2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ht="2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ht="2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ht="2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ht="2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ht="2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ht="2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ht="2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ht="2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ht="2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ht="2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ht="2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ht="2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ht="2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ht="2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ht="2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ht="2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ht="2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ht="2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ht="2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ht="2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ht="2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ht="2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ht="2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ht="2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ht="2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ht="2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ht="2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ht="2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ht="2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ht="2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ht="2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ht="2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ht="2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ht="2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ht="2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ht="2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ht="2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ht="2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ht="2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ht="2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ht="2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ht="2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ht="2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ht="2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ht="2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ht="2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ht="2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ht="2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ht="2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ht="2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ht="2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ht="2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ht="2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ht="2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ht="2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ht="2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ht="2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ht="2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ht="2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ht="2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ht="2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ht="2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ht="2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ht="2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ht="2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ht="2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ht="2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ht="2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ht="2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ht="2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ht="2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ht="2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ht="2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ht="2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ht="2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ht="2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ht="2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ht="2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ht="2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ht="2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ht="2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ht="2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ht="2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ht="2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ht="2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ht="2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ht="2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ht="2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ht="2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ht="2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ht="2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ht="2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ht="2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ht="2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ht="2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ht="2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row r="711" ht="2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ht="2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row>
    <row r="713" ht="2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ht="2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row>
    <row r="715" ht="2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ht="2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row>
    <row r="717" ht="2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ht="2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row>
    <row r="719" ht="2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row>
    <row r="720" ht="2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row>
    <row r="721" ht="2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row>
    <row r="722" ht="2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row>
    <row r="723" ht="2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row>
    <row r="724" ht="2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row>
    <row r="725" ht="2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row>
    <row r="726" ht="2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ht="2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row>
    <row r="728" ht="2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ht="2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row>
    <row r="730" ht="2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ht="2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ht="2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ht="2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row>
    <row r="734" ht="2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row>
    <row r="735" ht="2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row>
    <row r="736" ht="2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row>
    <row r="737" ht="2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row>
    <row r="738" ht="2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row>
    <row r="739" ht="2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row>
    <row r="740" ht="2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row>
    <row r="741" ht="2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ht="2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row>
    <row r="743" ht="2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ht="2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row>
    <row r="745" ht="2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ht="2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row>
    <row r="747" ht="2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ht="2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row>
    <row r="749" ht="2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row>
    <row r="750" ht="2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row>
    <row r="751" ht="2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row>
    <row r="752" ht="2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row>
    <row r="753" ht="2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row>
    <row r="754" ht="2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row>
    <row r="755" ht="2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row>
    <row r="756" ht="2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ht="2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row>
    <row r="758" ht="2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ht="2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row>
    <row r="760" ht="2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ht="2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row>
    <row r="762" ht="2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row>
    <row r="763" ht="2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row>
    <row r="764" ht="2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row>
    <row r="765" ht="2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row>
    <row r="766" ht="2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row>
    <row r="767" ht="2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row>
    <row r="768" ht="2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row>
    <row r="769" ht="2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row>
    <row r="770" ht="2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row>
    <row r="771" ht="2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row>
    <row r="772" ht="2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row>
    <row r="773" ht="2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row>
    <row r="774" ht="2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row>
    <row r="775" ht="2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row>
    <row r="776" ht="2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row>
    <row r="777" ht="2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row>
    <row r="778" ht="2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row>
    <row r="779" ht="2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ht="2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row>
    <row r="781" ht="2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ht="2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row>
    <row r="783" ht="2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ht="2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row>
    <row r="785" ht="2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row>
    <row r="786" ht="2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row>
    <row r="787" ht="2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row>
    <row r="788" ht="2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row>
    <row r="789" ht="2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row>
    <row r="790" ht="2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row>
    <row r="791" ht="2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row>
    <row r="792" ht="2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ht="2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ht="2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ht="2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ht="2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ht="2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row>
    <row r="798" ht="2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row>
    <row r="799" ht="2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row>
    <row r="800" ht="2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row>
    <row r="801" ht="2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row>
    <row r="802" ht="2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row>
    <row r="803" ht="2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row>
    <row r="804" ht="2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row>
    <row r="805" ht="2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row>
    <row r="806" ht="2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ht="2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row>
    <row r="808" ht="2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row>
    <row r="809" ht="2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row>
    <row r="810" ht="2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row>
    <row r="811" ht="2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row>
    <row r="812" ht="2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row>
    <row r="813" ht="2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row>
    <row r="814" ht="2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row>
    <row r="815" ht="2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row>
    <row r="816" ht="2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row>
    <row r="817" ht="2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row>
    <row r="818" ht="2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row>
    <row r="819" ht="2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row>
    <row r="820" ht="2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row>
    <row r="821" ht="2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row>
    <row r="822" ht="2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ht="2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row>
    <row r="824" ht="2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row>
    <row r="825" ht="2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row>
    <row r="826" ht="2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row>
    <row r="827" ht="2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row>
    <row r="828" ht="2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row>
    <row r="829" ht="2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row>
    <row r="830" ht="2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row>
    <row r="831" ht="2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row>
    <row r="832" ht="2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row>
    <row r="833" ht="2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row>
    <row r="834" ht="2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ht="2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row>
    <row r="836" ht="2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ht="2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row>
    <row r="838" ht="2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ht="2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row>
    <row r="840" ht="2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ht="2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row>
    <row r="842" ht="2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row>
    <row r="843" ht="2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row>
    <row r="844" ht="2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row>
    <row r="845" ht="2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row>
    <row r="846" ht="2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row>
    <row r="847" ht="2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ht="2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row>
    <row r="849" ht="2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row>
    <row r="850" ht="2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row>
    <row r="851" ht="2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row>
    <row r="852" ht="2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row>
    <row r="853" ht="2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row>
    <row r="854" ht="2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row>
    <row r="855" ht="2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row>
    <row r="856" ht="2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row>
    <row r="857" ht="2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row>
    <row r="858" ht="2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row>
    <row r="859" ht="2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ht="2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row>
    <row r="861" ht="2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row>
    <row r="862" ht="2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ht="2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row>
    <row r="864" ht="2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ht="2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row>
    <row r="866" ht="2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row>
    <row r="867" ht="2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row>
    <row r="868" ht="2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row>
    <row r="869" ht="2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ht="2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row>
    <row r="871" ht="2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row>
    <row r="872" ht="2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row>
    <row r="873" ht="2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row>
    <row r="874" ht="2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row>
    <row r="875" ht="2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row>
    <row r="876" ht="2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row>
    <row r="877" ht="2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row>
    <row r="878" ht="2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row r="879" ht="2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row>
    <row r="880" ht="2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row>
    <row r="881" ht="2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row>
    <row r="882" ht="2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row>
    <row r="883" ht="2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row>
    <row r="884" ht="2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row>
    <row r="885" ht="2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row>
    <row r="886" ht="2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row>
    <row r="887" ht="2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row>
    <row r="888" ht="2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row>
    <row r="889" ht="2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row>
    <row r="890" ht="2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row>
    <row r="891" ht="2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row>
    <row r="892" ht="2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row>
    <row r="893" ht="2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row>
    <row r="894" ht="2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row>
    <row r="895" ht="2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row>
    <row r="896" ht="2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row>
    <row r="897" ht="2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row>
    <row r="898" ht="2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row>
    <row r="899" ht="2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row>
    <row r="900" ht="2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row>
    <row r="901" ht="2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row>
    <row r="902" ht="2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row>
    <row r="903" ht="2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row>
    <row r="904" ht="2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row>
    <row r="905" ht="2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row>
    <row r="906" ht="2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row>
    <row r="907" ht="2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row>
    <row r="908" ht="2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row>
    <row r="909" ht="2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row>
    <row r="910" ht="2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row>
    <row r="911" ht="2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row>
    <row r="912" ht="2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row>
    <row r="913" ht="2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row>
    <row r="914" ht="2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row>
    <row r="915" ht="2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row>
    <row r="916" ht="2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row>
    <row r="917" ht="2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row>
    <row r="918" ht="2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row>
    <row r="919" ht="2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row>
    <row r="920" ht="2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row>
    <row r="921" ht="2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row>
    <row r="922" ht="2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row>
    <row r="923" ht="2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row>
    <row r="924" ht="2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row>
    <row r="925" ht="2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row>
    <row r="926" ht="2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row>
    <row r="927" ht="2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row>
    <row r="928" ht="2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row>
    <row r="929" ht="2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row>
    <row r="930" ht="2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row>
    <row r="931" ht="2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row>
    <row r="932" ht="2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row>
    <row r="933" ht="2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row>
    <row r="934" ht="2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row>
    <row r="935" ht="2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row>
    <row r="936" ht="2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row>
    <row r="937" ht="2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row>
    <row r="938" ht="2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row>
    <row r="939" ht="2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row>
    <row r="940" ht="2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row>
    <row r="941" ht="2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row>
    <row r="942" ht="2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row>
    <row r="943" ht="2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row>
    <row r="944" ht="2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row>
    <row r="945" ht="2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row>
    <row r="946" ht="2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row>
    <row r="947" ht="2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row>
    <row r="948" ht="2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row>
    <row r="949" ht="2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row>
    <row r="950" ht="2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row>
    <row r="951" ht="2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row>
    <row r="952" ht="2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row>
    <row r="953" ht="2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row>
    <row r="954" ht="2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row>
    <row r="955" ht="2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row>
    <row r="956" ht="2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row>
    <row r="957" ht="2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row>
    <row r="958" ht="2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row>
    <row r="959" ht="2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row>
    <row r="960" ht="2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row>
    <row r="961" ht="2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row>
    <row r="962" ht="2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row>
    <row r="963" ht="2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row>
    <row r="964" ht="2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row>
    <row r="965" ht="2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row>
    <row r="966" ht="2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row>
    <row r="967" ht="2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row>
    <row r="968" ht="2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row>
    <row r="969" ht="2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row>
    <row r="970" ht="2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row>
    <row r="971" ht="2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row>
    <row r="972" ht="2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row>
    <row r="973" ht="2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row>
    <row r="974" ht="2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row>
    <row r="975" ht="2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row>
    <row r="976" ht="2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row>
    <row r="977" ht="2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row>
    <row r="978" ht="2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row>
    <row r="979" ht="2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row>
    <row r="980" ht="2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row>
  </sheetData>
  <mergeCells count="13">
    <mergeCell ref="G7:G8"/>
    <mergeCell ref="L7:L8"/>
    <mergeCell ref="H7:H8"/>
    <mergeCell ref="J7:J8"/>
    <mergeCell ref="K7:K8"/>
    <mergeCell ref="I7:I8"/>
    <mergeCell ref="B1:B2"/>
    <mergeCell ref="A7:A8"/>
    <mergeCell ref="B7:B8"/>
    <mergeCell ref="C7:C8"/>
    <mergeCell ref="E7:E8"/>
    <mergeCell ref="B5:L5"/>
    <mergeCell ref="F7:F8"/>
  </mergeCells>
  <dataValidations>
    <dataValidation type="list" allowBlank="1" showInputMessage="1" showErrorMessage="1" prompt=" - " sqref="L1:L2">
      <formula1>"Fatal,Major,Minor,Cosmetic"</formula1>
    </dataValidation>
    <dataValidation type="list" allowBlank="1" sqref="G6:G7 J6:J7">
      <formula1>"Pass,Fail,Untested"</formula1>
    </dataValidation>
    <dataValidation type="list" allowBlank="1" showInputMessage="1" showErrorMessage="1" prompt=" - " sqref="L6:L7">
      <formula1>"Critical,Major,Minor,Cosmetic"</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A1" s="23" t="s">
        <v>126</v>
      </c>
    </row>
    <row r="2" ht="12.75" customHeight="1">
      <c r="A2" s="23" t="s">
        <v>127</v>
      </c>
    </row>
    <row r="3" ht="12.75" customHeight="1">
      <c r="A3" s="23" t="s">
        <v>128</v>
      </c>
    </row>
    <row r="4" ht="12.75" customHeight="1">
      <c r="A4" s="23" t="s">
        <v>129</v>
      </c>
    </row>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2017-09-27T01:16:35Z</dcterms:created>
  <dc:creator>Chúc Thuận</dc:creator>
</cp:coreProperties>
</file>

<file path=docProps/custom.xml><?xml version="1.0" encoding="utf-8"?>
<Properties xmlns="http://schemas.openxmlformats.org/officeDocument/2006/custom-properties" xmlns:vt="http://schemas.openxmlformats.org/officeDocument/2006/docPropsVTypes"/>
</file>